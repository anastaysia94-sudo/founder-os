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89037de34641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vings Register" sheetId="1" r:id="Rf04b5bc6e1544516"/>
    <x:sheet xmlns:r="http://schemas.openxmlformats.org/officeDocument/2006/relationships" name="Summary" sheetId="2" r:id="Rcc765223748b420d"/>
    <x:sheet xmlns:r="http://schemas.openxmlformats.org/officeDocument/2006/relationships" name="Vendor Import" sheetId="3" r:id="R4a3de8abe183476d"/>
    <x:sheet xmlns:r="http://schemas.openxmlformats.org/officeDocument/2006/relationships" name="Rules" sheetId="4" r:id="Refe3984649f849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0%"/>
    <x:numFmt numFmtId="202" formatCode="yyyy-mm-dd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D22"/>
      </x:patternFill>
    </x:fill>
    <x:fill>
      <x:patternFill patternType="solid">
        <x:fgColor rgb="FF0F291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</x:cellXfs>
  <x:cellStyles count="1">
    <x:cellStyle name="Normal" xfId="0"/>
  </x:cellStyles>
  <x:dxfs count="2">
    <x:dxf>
      <x:font>
        <x:b/>
        <x:color rgb="FF14532D"/>
      </x:font>
      <x:fill>
        <x:patternFill patternType="solid">
          <x:bgColor rgb="FFD8F5DE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ce56fc68d14ed1" /><Relationship Type="http://schemas.openxmlformats.org/officeDocument/2006/relationships/theme" Target="/xl/theme/theme1.xml" Id="R559fd064a20c4715" /><Relationship Type="http://schemas.openxmlformats.org/officeDocument/2006/relationships/sharedStrings" Target="/xl/sharedStrings.xml" Id="Rda441e4c07f04458" /><Relationship Type="http://schemas.openxmlformats.org/officeDocument/2006/relationships/worksheet" Target="/xl/worksheets/sheet1.xml" Id="Rf04b5bc6e1544516" /><Relationship Type="http://schemas.openxmlformats.org/officeDocument/2006/relationships/worksheet" Target="/xl/worksheets/sheet2.xml" Id="Rcc765223748b420d" /><Relationship Type="http://schemas.openxmlformats.org/officeDocument/2006/relationships/worksheet" Target="/xl/worksheets/sheet3.xml" Id="R4a3de8abe183476d" /><Relationship Type="http://schemas.openxmlformats.org/officeDocument/2006/relationships/worksheet" Target="/xl/worksheets/sheet4.xml" Id="Refe3984649f84937" /></Relationships>
</file>

<file path=xl/tables/table1.xml><?xml version="1.0" encoding="utf-8"?>
<x:table xmlns:x="http://schemas.openxmlformats.org/spreadsheetml/2006/main" id="1" name="WASTEBountySavingsTable" displayName="WASTEBountySavingsTable" ref="A1:U201" headerRowCount="1" totalsRowCount="0" totalsRowShown="0">
  <x:tableColumns count="21">
    <x:tableColumn id="1" name="Opportunity ID"/>
    <x:tableColumn id="2" name="Vendor"/>
    <x:tableColumn id="3" name="Category"/>
    <x:tableColumn id="4" name="Baseline Annual Spend"/>
    <x:tableColumn id="5" name="Paid Units / Seats"/>
    <x:tableColumn id="6" name="Active Units / Seats"/>
    <x:tableColumn id="7" name="Finding"/>
    <x:tableColumn id="8" name="Evidence Reference"/>
    <x:tableColumn id="9" name="Proposed Action"/>
    <x:tableColumn id="10" name="Estimated Annual Savings"/>
    <x:tableColumn id="11" name="Verified New Annual Cost"/>
    <x:tableColumn id="12" name="Verified Annual Savings"/>
    <x:tableColumn id="13" name="Status"/>
    <x:tableColumn id="14" name="Success Fee Rate"/>
    <x:tableColumn id="15" name="WASTEBounty Fee"/>
    <x:tableColumn id="16" name="Client Retained Savings"/>
    <x:tableColumn id="17" name="Renewal Date"/>
    <x:tableColumn id="18" name="Owner"/>
    <x:tableColumn id="19" name="Confidence"/>
    <x:tableColumn id="20" name="Evidence Date"/>
    <x:tableColumn id="21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ASTEBountyVendorImport" displayName="WASTEBountyVendorImport" ref="A1:J101" headerRowCount="1" totalsRowCount="0" totalsRowShown="0">
  <x:tableColumns count="10">
    <x:tableColumn id="1" name="Vendor"/>
    <x:tableColumn id="2" name="Category"/>
    <x:tableColumn id="3" name="Monthly Cost"/>
    <x:tableColumn id="4" name="Annual Cost"/>
    <x:tableColumn id="5" name="Renewal Date"/>
    <x:tableColumn id="6" name="Paid Seats/Units"/>
    <x:tableColumn id="7" name="Active Seats/Units"/>
    <x:tableColumn id="8" name="Department / Owner"/>
    <x:tableColumn id="9" name="Evidence / File Reference"/>
    <x:tableColumn id="1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d13c78634e46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fefa01ece24151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6" hidden="0" customWidth="1"/>
    <x:col min="4" max="4" width="18" hidden="0" customWidth="1"/>
    <x:col min="5" max="5" width="15" hidden="0" customWidth="1"/>
    <x:col min="6" max="6" width="15" hidden="0" customWidth="1"/>
    <x:col min="7" max="7" width="30" hidden="0" customWidth="1"/>
    <x:col min="8" max="8" width="28" hidden="0" customWidth="1"/>
    <x:col min="9" max="9" width="28" hidden="0" customWidth="1"/>
    <x:col min="10" max="10" width="19" hidden="0" customWidth="1"/>
    <x:col min="11" max="11" width="20" hidden="0" customWidth="1"/>
    <x:col min="12" max="12" width="19" hidden="0" customWidth="1"/>
    <x:col min="13" max="13" width="20" hidden="0" customWidth="1"/>
    <x:col min="14" max="14" width="15" hidden="0" customWidth="1"/>
    <x:col min="15" max="15" width="18" hidden="0" customWidth="1"/>
    <x:col min="16" max="16" width="20" hidden="0" customWidth="1"/>
    <x:col min="17" max="17" width="14" hidden="0" customWidth="1"/>
    <x:col min="18" max="18" width="18" hidden="0" customWidth="1"/>
    <x:col min="19" max="19" width="14" hidden="0" customWidth="1"/>
    <x:col min="20" max="20" width="14" hidden="0" customWidth="1"/>
    <x:col min="21" max="21" width="28" hidden="0" customWidth="1"/>
  </x:cols>
  <x:sheetData>
    <x:row r="1">
      <x:c r="A1" s="4" t="str">
        <x:v>Opportunity ID</x:v>
      </x:c>
      <x:c r="B1" s="4" t="str">
        <x:v>Vendor</x:v>
      </x:c>
      <x:c r="C1" s="4" t="str">
        <x:v>Category</x:v>
      </x:c>
      <x:c r="D1" s="4" t="str">
        <x:v>Baseline Annual Spend</x:v>
      </x:c>
      <x:c r="E1" s="4" t="str">
        <x:v>Paid Units / Seats</x:v>
      </x:c>
      <x:c r="F1" s="4" t="str">
        <x:v>Active Units / Seats</x:v>
      </x:c>
      <x:c r="G1" s="4" t="str">
        <x:v>Finding</x:v>
      </x:c>
      <x:c r="H1" s="4" t="str">
        <x:v>Evidence Reference</x:v>
      </x:c>
      <x:c r="I1" s="4" t="str">
        <x:v>Proposed Action</x:v>
      </x:c>
      <x:c r="J1" s="4" t="str">
        <x:v>Estimated Annual Savings</x:v>
      </x:c>
      <x:c r="K1" s="4" t="str">
        <x:v>Verified New Annual Cost</x:v>
      </x:c>
      <x:c r="L1" s="4" t="str">
        <x:v>Verified Annual Savings</x:v>
      </x:c>
      <x:c r="M1" s="4" t="str">
        <x:v>Status</x:v>
      </x:c>
      <x:c r="N1" s="4" t="str">
        <x:v>Success Fee Rate</x:v>
      </x:c>
      <x:c r="O1" s="4" t="str">
        <x:v>WASTEBounty Fee</x:v>
      </x:c>
      <x:c r="P1" s="4" t="str">
        <x:v>Client Retained Savings</x:v>
      </x:c>
      <x:c r="Q1" s="4" t="str">
        <x:v>Renewal Date</x:v>
      </x:c>
      <x:c r="R1" s="4" t="str">
        <x:v>Owner</x:v>
      </x:c>
      <x:c r="S1" s="4" t="str">
        <x:v>Confidence</x:v>
      </x:c>
      <x:c r="T1" s="4" t="str">
        <x:v>Evidence Date</x:v>
      </x:c>
      <x:c r="U1" s="4" t="str">
        <x:v>Notes</x:v>
      </x:c>
    </x:row>
    <x:row r="2">
      <x:c r="A2" s="8" t="str">
        <x:f>IF(B2="","","WB-"&amp;TEXT(ROW()-1,"000"))</x:f>
      </x:c>
      <x:c r="B2" s="8"/>
      <x:c r="C2" s="8"/>
      <x:c r="D2" s="10"/>
      <x:c r="E2" s="8"/>
      <x:c r="F2" s="8"/>
      <x:c r="G2" s="8"/>
      <x:c r="H2" s="8"/>
      <x:c r="I2" s="8"/>
      <x:c r="J2" s="10"/>
      <x:c r="K2" s="10"/>
      <x:c r="L2" s="10" t="n">
        <x:f>IF(OR(D2="",K2=""),0,MAX(0,D2-K2))</x:f>
        <x:v>0</x:v>
      </x:c>
      <x:c r="M2" s="8"/>
      <x:c r="N2" s="12" t="n">
        <x:f>Rules!$F$2</x:f>
        <x:v>0.2</x:v>
      </x:c>
      <x:c r="O2" s="10" t="n">
        <x:f>IF(M2="Verified",L2*N2,0)</x:f>
        <x:v>0</x:v>
      </x:c>
      <x:c r="P2" s="10" t="n">
        <x:f>IF(M2="Verified",L2-O2,0)</x:f>
        <x:v>0</x:v>
      </x:c>
      <x:c r="Q2" s="14"/>
      <x:c r="R2" s="8"/>
      <x:c r="S2" s="8"/>
      <x:c r="T2" s="14"/>
      <x:c r="U2" s="8"/>
    </x:row>
    <x:row r="3">
      <x:c r="A3" s="8" t="str">
        <x:f>IF(B3="","","WB-"&amp;TEXT(ROW()-1,"000"))</x:f>
      </x:c>
      <x:c r="B3" s="8"/>
      <x:c r="C3" s="8"/>
      <x:c r="D3" s="10"/>
      <x:c r="E3" s="8"/>
      <x:c r="F3" s="8"/>
      <x:c r="G3" s="8"/>
      <x:c r="H3" s="8"/>
      <x:c r="I3" s="8"/>
      <x:c r="J3" s="10"/>
      <x:c r="K3" s="10"/>
      <x:c r="L3" s="10" t="n">
        <x:f>IF(OR(D3="",K3=""),0,MAX(0,D3-K3))</x:f>
        <x:v>0</x:v>
      </x:c>
      <x:c r="M3" s="8"/>
      <x:c r="N3" s="12" t="n">
        <x:f>Rules!$F$2</x:f>
        <x:v>0.2</x:v>
      </x:c>
      <x:c r="O3" s="10" t="n">
        <x:f>IF(M3="Verified",L3*N3,0)</x:f>
        <x:v>0</x:v>
      </x:c>
      <x:c r="P3" s="10" t="n">
        <x:f>IF(M3="Verified",L3-O3,0)</x:f>
        <x:v>0</x:v>
      </x:c>
      <x:c r="Q3" s="14"/>
      <x:c r="R3" s="8"/>
      <x:c r="S3" s="8"/>
      <x:c r="T3" s="14"/>
      <x:c r="U3" s="8"/>
    </x:row>
    <x:row r="4">
      <x:c r="A4" s="8" t="str">
        <x:f>IF(B4="","","WB-"&amp;TEXT(ROW()-1,"000"))</x:f>
      </x:c>
      <x:c r="B4" s="8"/>
      <x:c r="C4" s="8"/>
      <x:c r="D4" s="10"/>
      <x:c r="E4" s="8"/>
      <x:c r="F4" s="8"/>
      <x:c r="G4" s="8"/>
      <x:c r="H4" s="8"/>
      <x:c r="I4" s="8"/>
      <x:c r="J4" s="10"/>
      <x:c r="K4" s="10"/>
      <x:c r="L4" s="10" t="n">
        <x:f>IF(OR(D4="",K4=""),0,MAX(0,D4-K4))</x:f>
        <x:v>0</x:v>
      </x:c>
      <x:c r="M4" s="8"/>
      <x:c r="N4" s="12" t="n">
        <x:f>Rules!$F$2</x:f>
        <x:v>0.2</x:v>
      </x:c>
      <x:c r="O4" s="10" t="n">
        <x:f>IF(M4="Verified",L4*N4,0)</x:f>
        <x:v>0</x:v>
      </x:c>
      <x:c r="P4" s="10" t="n">
        <x:f>IF(M4="Verified",L4-O4,0)</x:f>
        <x:v>0</x:v>
      </x:c>
      <x:c r="Q4" s="14"/>
      <x:c r="R4" s="8"/>
      <x:c r="S4" s="8"/>
      <x:c r="T4" s="14"/>
      <x:c r="U4" s="8"/>
    </x:row>
    <x:row r="5">
      <x:c r="A5" s="8" t="str">
        <x:f>IF(B5="","","WB-"&amp;TEXT(ROW()-1,"000"))</x:f>
      </x:c>
      <x:c r="B5" s="8"/>
      <x:c r="C5" s="8"/>
      <x:c r="D5" s="10"/>
      <x:c r="E5" s="8"/>
      <x:c r="F5" s="8"/>
      <x:c r="G5" s="8"/>
      <x:c r="H5" s="8"/>
      <x:c r="I5" s="8"/>
      <x:c r="J5" s="10"/>
      <x:c r="K5" s="10"/>
      <x:c r="L5" s="10" t="n">
        <x:f>IF(OR(D5="",K5=""),0,MAX(0,D5-K5))</x:f>
        <x:v>0</x:v>
      </x:c>
      <x:c r="M5" s="8"/>
      <x:c r="N5" s="12" t="n">
        <x:f>Rules!$F$2</x:f>
        <x:v>0.2</x:v>
      </x:c>
      <x:c r="O5" s="10" t="n">
        <x:f>IF(M5="Verified",L5*N5,0)</x:f>
        <x:v>0</x:v>
      </x:c>
      <x:c r="P5" s="10" t="n">
        <x:f>IF(M5="Verified",L5-O5,0)</x:f>
        <x:v>0</x:v>
      </x:c>
      <x:c r="Q5" s="14"/>
      <x:c r="R5" s="8"/>
      <x:c r="S5" s="8"/>
      <x:c r="T5" s="14"/>
      <x:c r="U5" s="8"/>
    </x:row>
    <x:row r="6">
      <x:c r="A6" s="8" t="str">
        <x:f>IF(B6="","","WB-"&amp;TEXT(ROW()-1,"000"))</x:f>
      </x:c>
      <x:c r="B6" s="8"/>
      <x:c r="C6" s="8"/>
      <x:c r="D6" s="10"/>
      <x:c r="E6" s="8"/>
      <x:c r="F6" s="8"/>
      <x:c r="G6" s="8"/>
      <x:c r="H6" s="8"/>
      <x:c r="I6" s="8"/>
      <x:c r="J6" s="10"/>
      <x:c r="K6" s="10"/>
      <x:c r="L6" s="10" t="n">
        <x:f>IF(OR(D6="",K6=""),0,MAX(0,D6-K6))</x:f>
        <x:v>0</x:v>
      </x:c>
      <x:c r="M6" s="8"/>
      <x:c r="N6" s="12" t="n">
        <x:f>Rules!$F$2</x:f>
        <x:v>0.2</x:v>
      </x:c>
      <x:c r="O6" s="10" t="n">
        <x:f>IF(M6="Verified",L6*N6,0)</x:f>
        <x:v>0</x:v>
      </x:c>
      <x:c r="P6" s="10" t="n">
        <x:f>IF(M6="Verified",L6-O6,0)</x:f>
        <x:v>0</x:v>
      </x:c>
      <x:c r="Q6" s="14"/>
      <x:c r="R6" s="8"/>
      <x:c r="S6" s="8"/>
      <x:c r="T6" s="14"/>
      <x:c r="U6" s="8"/>
    </x:row>
    <x:row r="7">
      <x:c r="A7" s="8" t="str">
        <x:f>IF(B7="","","WB-"&amp;TEXT(ROW()-1,"000"))</x:f>
      </x:c>
      <x:c r="B7" s="8"/>
      <x:c r="C7" s="8"/>
      <x:c r="D7" s="10"/>
      <x:c r="E7" s="8"/>
      <x:c r="F7" s="8"/>
      <x:c r="G7" s="8"/>
      <x:c r="H7" s="8"/>
      <x:c r="I7" s="8"/>
      <x:c r="J7" s="10"/>
      <x:c r="K7" s="10"/>
      <x:c r="L7" s="10" t="n">
        <x:f>IF(OR(D7="",K7=""),0,MAX(0,D7-K7))</x:f>
        <x:v>0</x:v>
      </x:c>
      <x:c r="M7" s="8"/>
      <x:c r="N7" s="12" t="n">
        <x:f>Rules!$F$2</x:f>
        <x:v>0.2</x:v>
      </x:c>
      <x:c r="O7" s="10" t="n">
        <x:f>IF(M7="Verified",L7*N7,0)</x:f>
        <x:v>0</x:v>
      </x:c>
      <x:c r="P7" s="10" t="n">
        <x:f>IF(M7="Verified",L7-O7,0)</x:f>
        <x:v>0</x:v>
      </x:c>
      <x:c r="Q7" s="14"/>
      <x:c r="R7" s="8"/>
      <x:c r="S7" s="8"/>
      <x:c r="T7" s="14"/>
      <x:c r="U7" s="8"/>
    </x:row>
    <x:row r="8">
      <x:c r="A8" s="8" t="str">
        <x:f>IF(B8="","","WB-"&amp;TEXT(ROW()-1,"000"))</x:f>
      </x:c>
      <x:c r="B8" s="8"/>
      <x:c r="C8" s="8"/>
      <x:c r="D8" s="10"/>
      <x:c r="E8" s="8"/>
      <x:c r="F8" s="8"/>
      <x:c r="G8" s="8"/>
      <x:c r="H8" s="8"/>
      <x:c r="I8" s="8"/>
      <x:c r="J8" s="10"/>
      <x:c r="K8" s="10"/>
      <x:c r="L8" s="10" t="n">
        <x:f>IF(OR(D8="",K8=""),0,MAX(0,D8-K8))</x:f>
        <x:v>0</x:v>
      </x:c>
      <x:c r="M8" s="8"/>
      <x:c r="N8" s="12" t="n">
        <x:f>Rules!$F$2</x:f>
        <x:v>0.2</x:v>
      </x:c>
      <x:c r="O8" s="10" t="n">
        <x:f>IF(M8="Verified",L8*N8,0)</x:f>
        <x:v>0</x:v>
      </x:c>
      <x:c r="P8" s="10" t="n">
        <x:f>IF(M8="Verified",L8-O8,0)</x:f>
        <x:v>0</x:v>
      </x:c>
      <x:c r="Q8" s="14"/>
      <x:c r="R8" s="8"/>
      <x:c r="S8" s="8"/>
      <x:c r="T8" s="14"/>
      <x:c r="U8" s="8"/>
    </x:row>
    <x:row r="9">
      <x:c r="A9" s="8" t="str">
        <x:f>IF(B9="","","WB-"&amp;TEXT(ROW()-1,"000"))</x:f>
      </x:c>
      <x:c r="B9" s="8"/>
      <x:c r="C9" s="8"/>
      <x:c r="D9" s="10"/>
      <x:c r="E9" s="8"/>
      <x:c r="F9" s="8"/>
      <x:c r="G9" s="8"/>
      <x:c r="H9" s="8"/>
      <x:c r="I9" s="8"/>
      <x:c r="J9" s="10"/>
      <x:c r="K9" s="10"/>
      <x:c r="L9" s="10" t="n">
        <x:f>IF(OR(D9="",K9=""),0,MAX(0,D9-K9))</x:f>
        <x:v>0</x:v>
      </x:c>
      <x:c r="M9" s="8"/>
      <x:c r="N9" s="12" t="n">
        <x:f>Rules!$F$2</x:f>
        <x:v>0.2</x:v>
      </x:c>
      <x:c r="O9" s="10" t="n">
        <x:f>IF(M9="Verified",L9*N9,0)</x:f>
        <x:v>0</x:v>
      </x:c>
      <x:c r="P9" s="10" t="n">
        <x:f>IF(M9="Verified",L9-O9,0)</x:f>
        <x:v>0</x:v>
      </x:c>
      <x:c r="Q9" s="14"/>
      <x:c r="R9" s="8"/>
      <x:c r="S9" s="8"/>
      <x:c r="T9" s="14"/>
      <x:c r="U9" s="8"/>
    </x:row>
    <x:row r="10">
      <x:c r="A10" s="8" t="str">
        <x:f>IF(B10="","","WB-"&amp;TEXT(ROW()-1,"000"))</x:f>
      </x:c>
      <x:c r="B10" s="8"/>
      <x:c r="C10" s="8"/>
      <x:c r="D10" s="10"/>
      <x:c r="E10" s="8"/>
      <x:c r="F10" s="8"/>
      <x:c r="G10" s="8"/>
      <x:c r="H10" s="8"/>
      <x:c r="I10" s="8"/>
      <x:c r="J10" s="10"/>
      <x:c r="K10" s="10"/>
      <x:c r="L10" s="10" t="n">
        <x:f>IF(OR(D10="",K10=""),0,MAX(0,D10-K10))</x:f>
        <x:v>0</x:v>
      </x:c>
      <x:c r="M10" s="8"/>
      <x:c r="N10" s="12" t="n">
        <x:f>Rules!$F$2</x:f>
        <x:v>0.2</x:v>
      </x:c>
      <x:c r="O10" s="10" t="n">
        <x:f>IF(M10="Verified",L10*N10,0)</x:f>
        <x:v>0</x:v>
      </x:c>
      <x:c r="P10" s="10" t="n">
        <x:f>IF(M10="Verified",L10-O10,0)</x:f>
        <x:v>0</x:v>
      </x:c>
      <x:c r="Q10" s="14"/>
      <x:c r="R10" s="8"/>
      <x:c r="S10" s="8"/>
      <x:c r="T10" s="14"/>
      <x:c r="U10" s="8"/>
    </x:row>
    <x:row r="11">
      <x:c r="A11" s="8" t="str">
        <x:f>IF(B11="","","WB-"&amp;TEXT(ROW()-1,"000"))</x:f>
      </x:c>
      <x:c r="B11" s="8"/>
      <x:c r="C11" s="8"/>
      <x:c r="D11" s="10"/>
      <x:c r="E11" s="8"/>
      <x:c r="F11" s="8"/>
      <x:c r="G11" s="8"/>
      <x:c r="H11" s="8"/>
      <x:c r="I11" s="8"/>
      <x:c r="J11" s="10"/>
      <x:c r="K11" s="10"/>
      <x:c r="L11" s="10" t="n">
        <x:f>IF(OR(D11="",K11=""),0,MAX(0,D11-K11))</x:f>
        <x:v>0</x:v>
      </x:c>
      <x:c r="M11" s="8"/>
      <x:c r="N11" s="12" t="n">
        <x:f>Rules!$F$2</x:f>
        <x:v>0.2</x:v>
      </x:c>
      <x:c r="O11" s="10" t="n">
        <x:f>IF(M11="Verified",L11*N11,0)</x:f>
        <x:v>0</x:v>
      </x:c>
      <x:c r="P11" s="10" t="n">
        <x:f>IF(M11="Verified",L11-O11,0)</x:f>
        <x:v>0</x:v>
      </x:c>
      <x:c r="Q11" s="14"/>
      <x:c r="R11" s="8"/>
      <x:c r="S11" s="8"/>
      <x:c r="T11" s="14"/>
      <x:c r="U11" s="8"/>
    </x:row>
    <x:row r="12">
      <x:c r="A12" s="8" t="str">
        <x:f>IF(B12="","","WB-"&amp;TEXT(ROW()-1,"000"))</x:f>
      </x:c>
      <x:c r="B12" s="8"/>
      <x:c r="C12" s="8"/>
      <x:c r="D12" s="10"/>
      <x:c r="E12" s="8"/>
      <x:c r="F12" s="8"/>
      <x:c r="G12" s="8"/>
      <x:c r="H12" s="8"/>
      <x:c r="I12" s="8"/>
      <x:c r="J12" s="10"/>
      <x:c r="K12" s="10"/>
      <x:c r="L12" s="10" t="n">
        <x:f>IF(OR(D12="",K12=""),0,MAX(0,D12-K12))</x:f>
        <x:v>0</x:v>
      </x:c>
      <x:c r="M12" s="8"/>
      <x:c r="N12" s="12" t="n">
        <x:f>Rules!$F$2</x:f>
        <x:v>0.2</x:v>
      </x:c>
      <x:c r="O12" s="10" t="n">
        <x:f>IF(M12="Verified",L12*N12,0)</x:f>
        <x:v>0</x:v>
      </x:c>
      <x:c r="P12" s="10" t="n">
        <x:f>IF(M12="Verified",L12-O12,0)</x:f>
        <x:v>0</x:v>
      </x:c>
      <x:c r="Q12" s="14"/>
      <x:c r="R12" s="8"/>
      <x:c r="S12" s="8"/>
      <x:c r="T12" s="14"/>
      <x:c r="U12" s="8"/>
    </x:row>
    <x:row r="13">
      <x:c r="A13" s="8" t="str">
        <x:f>IF(B13="","","WB-"&amp;TEXT(ROW()-1,"000"))</x:f>
      </x:c>
      <x:c r="B13" s="8"/>
      <x:c r="C13" s="8"/>
      <x:c r="D13" s="10"/>
      <x:c r="E13" s="8"/>
      <x:c r="F13" s="8"/>
      <x:c r="G13" s="8"/>
      <x:c r="H13" s="8"/>
      <x:c r="I13" s="8"/>
      <x:c r="J13" s="10"/>
      <x:c r="K13" s="10"/>
      <x:c r="L13" s="10" t="n">
        <x:f>IF(OR(D13="",K13=""),0,MAX(0,D13-K13))</x:f>
        <x:v>0</x:v>
      </x:c>
      <x:c r="M13" s="8"/>
      <x:c r="N13" s="12" t="n">
        <x:f>Rules!$F$2</x:f>
        <x:v>0.2</x:v>
      </x:c>
      <x:c r="O13" s="10" t="n">
        <x:f>IF(M13="Verified",L13*N13,0)</x:f>
        <x:v>0</x:v>
      </x:c>
      <x:c r="P13" s="10" t="n">
        <x:f>IF(M13="Verified",L13-O13,0)</x:f>
        <x:v>0</x:v>
      </x:c>
      <x:c r="Q13" s="14"/>
      <x:c r="R13" s="8"/>
      <x:c r="S13" s="8"/>
      <x:c r="T13" s="14"/>
      <x:c r="U13" s="8"/>
    </x:row>
    <x:row r="14">
      <x:c r="A14" s="8" t="str">
        <x:f>IF(B14="","","WB-"&amp;TEXT(ROW()-1,"000"))</x:f>
      </x:c>
      <x:c r="B14" s="8"/>
      <x:c r="C14" s="8"/>
      <x:c r="D14" s="10"/>
      <x:c r="E14" s="8"/>
      <x:c r="F14" s="8"/>
      <x:c r="G14" s="8"/>
      <x:c r="H14" s="8"/>
      <x:c r="I14" s="8"/>
      <x:c r="J14" s="10"/>
      <x:c r="K14" s="10"/>
      <x:c r="L14" s="10" t="n">
        <x:f>IF(OR(D14="",K14=""),0,MAX(0,D14-K14))</x:f>
        <x:v>0</x:v>
      </x:c>
      <x:c r="M14" s="8"/>
      <x:c r="N14" s="12" t="n">
        <x:f>Rules!$F$2</x:f>
        <x:v>0.2</x:v>
      </x:c>
      <x:c r="O14" s="10" t="n">
        <x:f>IF(M14="Verified",L14*N14,0)</x:f>
        <x:v>0</x:v>
      </x:c>
      <x:c r="P14" s="10" t="n">
        <x:f>IF(M14="Verified",L14-O14,0)</x:f>
        <x:v>0</x:v>
      </x:c>
      <x:c r="Q14" s="14"/>
      <x:c r="R14" s="8"/>
      <x:c r="S14" s="8"/>
      <x:c r="T14" s="14"/>
      <x:c r="U14" s="8"/>
    </x:row>
    <x:row r="15">
      <x:c r="A15" s="8" t="str">
        <x:f>IF(B15="","","WB-"&amp;TEXT(ROW()-1,"000"))</x:f>
      </x:c>
      <x:c r="B15" s="8"/>
      <x:c r="C15" s="8"/>
      <x:c r="D15" s="10"/>
      <x:c r="E15" s="8"/>
      <x:c r="F15" s="8"/>
      <x:c r="G15" s="8"/>
      <x:c r="H15" s="8"/>
      <x:c r="I15" s="8"/>
      <x:c r="J15" s="10"/>
      <x:c r="K15" s="10"/>
      <x:c r="L15" s="10" t="n">
        <x:f>IF(OR(D15="",K15=""),0,MAX(0,D15-K15))</x:f>
        <x:v>0</x:v>
      </x:c>
      <x:c r="M15" s="8"/>
      <x:c r="N15" s="12" t="n">
        <x:f>Rules!$F$2</x:f>
        <x:v>0.2</x:v>
      </x:c>
      <x:c r="O15" s="10" t="n">
        <x:f>IF(M15="Verified",L15*N15,0)</x:f>
        <x:v>0</x:v>
      </x:c>
      <x:c r="P15" s="10" t="n">
        <x:f>IF(M15="Verified",L15-O15,0)</x:f>
        <x:v>0</x:v>
      </x:c>
      <x:c r="Q15" s="14"/>
      <x:c r="R15" s="8"/>
      <x:c r="S15" s="8"/>
      <x:c r="T15" s="14"/>
      <x:c r="U15" s="8"/>
    </x:row>
    <x:row r="16">
      <x:c r="A16" s="8" t="str">
        <x:f>IF(B16="","","WB-"&amp;TEXT(ROW()-1,"000"))</x:f>
      </x:c>
      <x:c r="B16" s="8"/>
      <x:c r="C16" s="8"/>
      <x:c r="D16" s="10"/>
      <x:c r="E16" s="8"/>
      <x:c r="F16" s="8"/>
      <x:c r="G16" s="8"/>
      <x:c r="H16" s="8"/>
      <x:c r="I16" s="8"/>
      <x:c r="J16" s="10"/>
      <x:c r="K16" s="10"/>
      <x:c r="L16" s="10" t="n">
        <x:f>IF(OR(D16="",K16=""),0,MAX(0,D16-K16))</x:f>
        <x:v>0</x:v>
      </x:c>
      <x:c r="M16" s="8"/>
      <x:c r="N16" s="12" t="n">
        <x:f>Rules!$F$2</x:f>
        <x:v>0.2</x:v>
      </x:c>
      <x:c r="O16" s="10" t="n">
        <x:f>IF(M16="Verified",L16*N16,0)</x:f>
        <x:v>0</x:v>
      </x:c>
      <x:c r="P16" s="10" t="n">
        <x:f>IF(M16="Verified",L16-O16,0)</x:f>
        <x:v>0</x:v>
      </x:c>
      <x:c r="Q16" s="14"/>
      <x:c r="R16" s="8"/>
      <x:c r="S16" s="8"/>
      <x:c r="T16" s="14"/>
      <x:c r="U16" s="8"/>
    </x:row>
    <x:row r="17">
      <x:c r="A17" s="8" t="str">
        <x:f>IF(B17="","","WB-"&amp;TEXT(ROW()-1,"000"))</x:f>
      </x:c>
      <x:c r="B17" s="8"/>
      <x:c r="C17" s="8"/>
      <x:c r="D17" s="10"/>
      <x:c r="E17" s="8"/>
      <x:c r="F17" s="8"/>
      <x:c r="G17" s="8"/>
      <x:c r="H17" s="8"/>
      <x:c r="I17" s="8"/>
      <x:c r="J17" s="10"/>
      <x:c r="K17" s="10"/>
      <x:c r="L17" s="10" t="n">
        <x:f>IF(OR(D17="",K17=""),0,MAX(0,D17-K17))</x:f>
        <x:v>0</x:v>
      </x:c>
      <x:c r="M17" s="8"/>
      <x:c r="N17" s="12" t="n">
        <x:f>Rules!$F$2</x:f>
        <x:v>0.2</x:v>
      </x:c>
      <x:c r="O17" s="10" t="n">
        <x:f>IF(M17="Verified",L17*N17,0)</x:f>
        <x:v>0</x:v>
      </x:c>
      <x:c r="P17" s="10" t="n">
        <x:f>IF(M17="Verified",L17-O17,0)</x:f>
        <x:v>0</x:v>
      </x:c>
      <x:c r="Q17" s="14"/>
      <x:c r="R17" s="8"/>
      <x:c r="S17" s="8"/>
      <x:c r="T17" s="14"/>
      <x:c r="U17" s="8"/>
    </x:row>
    <x:row r="18">
      <x:c r="A18" s="8" t="str">
        <x:f>IF(B18="","","WB-"&amp;TEXT(ROW()-1,"000"))</x:f>
      </x:c>
      <x:c r="B18" s="8"/>
      <x:c r="C18" s="8"/>
      <x:c r="D18" s="10"/>
      <x:c r="E18" s="8"/>
      <x:c r="F18" s="8"/>
      <x:c r="G18" s="8"/>
      <x:c r="H18" s="8"/>
      <x:c r="I18" s="8"/>
      <x:c r="J18" s="10"/>
      <x:c r="K18" s="10"/>
      <x:c r="L18" s="10" t="n">
        <x:f>IF(OR(D18="",K18=""),0,MAX(0,D18-K18))</x:f>
        <x:v>0</x:v>
      </x:c>
      <x:c r="M18" s="8"/>
      <x:c r="N18" s="12" t="n">
        <x:f>Rules!$F$2</x:f>
        <x:v>0.2</x:v>
      </x:c>
      <x:c r="O18" s="10" t="n">
        <x:f>IF(M18="Verified",L18*N18,0)</x:f>
        <x:v>0</x:v>
      </x:c>
      <x:c r="P18" s="10" t="n">
        <x:f>IF(M18="Verified",L18-O18,0)</x:f>
        <x:v>0</x:v>
      </x:c>
      <x:c r="Q18" s="14"/>
      <x:c r="R18" s="8"/>
      <x:c r="S18" s="8"/>
      <x:c r="T18" s="14"/>
      <x:c r="U18" s="8"/>
    </x:row>
    <x:row r="19">
      <x:c r="A19" s="8" t="str">
        <x:f>IF(B19="","","WB-"&amp;TEXT(ROW()-1,"000"))</x:f>
      </x:c>
      <x:c r="B19" s="8"/>
      <x:c r="C19" s="8"/>
      <x:c r="D19" s="10"/>
      <x:c r="E19" s="8"/>
      <x:c r="F19" s="8"/>
      <x:c r="G19" s="8"/>
      <x:c r="H19" s="8"/>
      <x:c r="I19" s="8"/>
      <x:c r="J19" s="10"/>
      <x:c r="K19" s="10"/>
      <x:c r="L19" s="10" t="n">
        <x:f>IF(OR(D19="",K19=""),0,MAX(0,D19-K19))</x:f>
        <x:v>0</x:v>
      </x:c>
      <x:c r="M19" s="8"/>
      <x:c r="N19" s="12" t="n">
        <x:f>Rules!$F$2</x:f>
        <x:v>0.2</x:v>
      </x:c>
      <x:c r="O19" s="10" t="n">
        <x:f>IF(M19="Verified",L19*N19,0)</x:f>
        <x:v>0</x:v>
      </x:c>
      <x:c r="P19" s="10" t="n">
        <x:f>IF(M19="Verified",L19-O19,0)</x:f>
        <x:v>0</x:v>
      </x:c>
      <x:c r="Q19" s="14"/>
      <x:c r="R19" s="8"/>
      <x:c r="S19" s="8"/>
      <x:c r="T19" s="14"/>
      <x:c r="U19" s="8"/>
    </x:row>
    <x:row r="20">
      <x:c r="A20" s="8" t="str">
        <x:f>IF(B20="","","WB-"&amp;TEXT(ROW()-1,"000"))</x:f>
      </x:c>
      <x:c r="B20" s="8"/>
      <x:c r="C20" s="8"/>
      <x:c r="D20" s="10"/>
      <x:c r="E20" s="8"/>
      <x:c r="F20" s="8"/>
      <x:c r="G20" s="8"/>
      <x:c r="H20" s="8"/>
      <x:c r="I20" s="8"/>
      <x:c r="J20" s="10"/>
      <x:c r="K20" s="10"/>
      <x:c r="L20" s="10" t="n">
        <x:f>IF(OR(D20="",K20=""),0,MAX(0,D20-K20))</x:f>
        <x:v>0</x:v>
      </x:c>
      <x:c r="M20" s="8"/>
      <x:c r="N20" s="12" t="n">
        <x:f>Rules!$F$2</x:f>
        <x:v>0.2</x:v>
      </x:c>
      <x:c r="O20" s="10" t="n">
        <x:f>IF(M20="Verified",L20*N20,0)</x:f>
        <x:v>0</x:v>
      </x:c>
      <x:c r="P20" s="10" t="n">
        <x:f>IF(M20="Verified",L20-O20,0)</x:f>
        <x:v>0</x:v>
      </x:c>
      <x:c r="Q20" s="14"/>
      <x:c r="R20" s="8"/>
      <x:c r="S20" s="8"/>
      <x:c r="T20" s="14"/>
      <x:c r="U20" s="8"/>
    </x:row>
    <x:row r="21">
      <x:c r="A21" s="8" t="str">
        <x:f>IF(B21="","","WB-"&amp;TEXT(ROW()-1,"000"))</x:f>
      </x:c>
      <x:c r="B21" s="8"/>
      <x:c r="C21" s="8"/>
      <x:c r="D21" s="10"/>
      <x:c r="E21" s="8"/>
      <x:c r="F21" s="8"/>
      <x:c r="G21" s="8"/>
      <x:c r="H21" s="8"/>
      <x:c r="I21" s="8"/>
      <x:c r="J21" s="10"/>
      <x:c r="K21" s="10"/>
      <x:c r="L21" s="10" t="n">
        <x:f>IF(OR(D21="",K21=""),0,MAX(0,D21-K21))</x:f>
        <x:v>0</x:v>
      </x:c>
      <x:c r="M21" s="8"/>
      <x:c r="N21" s="12" t="n">
        <x:f>Rules!$F$2</x:f>
        <x:v>0.2</x:v>
      </x:c>
      <x:c r="O21" s="10" t="n">
        <x:f>IF(M21="Verified",L21*N21,0)</x:f>
        <x:v>0</x:v>
      </x:c>
      <x:c r="P21" s="10" t="n">
        <x:f>IF(M21="Verified",L21-O21,0)</x:f>
        <x:v>0</x:v>
      </x:c>
      <x:c r="Q21" s="14"/>
      <x:c r="R21" s="8"/>
      <x:c r="S21" s="8"/>
      <x:c r="T21" s="14"/>
      <x:c r="U21" s="8"/>
    </x:row>
    <x:row r="22">
      <x:c r="A22" s="8" t="str">
        <x:f>IF(B22="","","WB-"&amp;TEXT(ROW()-1,"000"))</x:f>
      </x:c>
      <x:c r="B22" s="8"/>
      <x:c r="C22" s="8"/>
      <x:c r="D22" s="10"/>
      <x:c r="E22" s="8"/>
      <x:c r="F22" s="8"/>
      <x:c r="G22" s="8"/>
      <x:c r="H22" s="8"/>
      <x:c r="I22" s="8"/>
      <x:c r="J22" s="10"/>
      <x:c r="K22" s="10"/>
      <x:c r="L22" s="10" t="n">
        <x:f>IF(OR(D22="",K22=""),0,MAX(0,D22-K22))</x:f>
        <x:v>0</x:v>
      </x:c>
      <x:c r="M22" s="8"/>
      <x:c r="N22" s="12" t="n">
        <x:f>Rules!$F$2</x:f>
        <x:v>0.2</x:v>
      </x:c>
      <x:c r="O22" s="10" t="n">
        <x:f>IF(M22="Verified",L22*N22,0)</x:f>
        <x:v>0</x:v>
      </x:c>
      <x:c r="P22" s="10" t="n">
        <x:f>IF(M22="Verified",L22-O22,0)</x:f>
        <x:v>0</x:v>
      </x:c>
      <x:c r="Q22" s="14"/>
      <x:c r="R22" s="8"/>
      <x:c r="S22" s="8"/>
      <x:c r="T22" s="14"/>
      <x:c r="U22" s="8"/>
    </x:row>
    <x:row r="23">
      <x:c r="A23" s="8" t="str">
        <x:f>IF(B23="","","WB-"&amp;TEXT(ROW()-1,"000"))</x:f>
      </x:c>
      <x:c r="B23" s="8"/>
      <x:c r="C23" s="8"/>
      <x:c r="D23" s="10"/>
      <x:c r="E23" s="8"/>
      <x:c r="F23" s="8"/>
      <x:c r="G23" s="8"/>
      <x:c r="H23" s="8"/>
      <x:c r="I23" s="8"/>
      <x:c r="J23" s="10"/>
      <x:c r="K23" s="10"/>
      <x:c r="L23" s="10" t="n">
        <x:f>IF(OR(D23="",K23=""),0,MAX(0,D23-K23))</x:f>
        <x:v>0</x:v>
      </x:c>
      <x:c r="M23" s="8"/>
      <x:c r="N23" s="12" t="n">
        <x:f>Rules!$F$2</x:f>
        <x:v>0.2</x:v>
      </x:c>
      <x:c r="O23" s="10" t="n">
        <x:f>IF(M23="Verified",L23*N23,0)</x:f>
        <x:v>0</x:v>
      </x:c>
      <x:c r="P23" s="10" t="n">
        <x:f>IF(M23="Verified",L23-O23,0)</x:f>
        <x:v>0</x:v>
      </x:c>
      <x:c r="Q23" s="14"/>
      <x:c r="R23" s="8"/>
      <x:c r="S23" s="8"/>
      <x:c r="T23" s="14"/>
      <x:c r="U23" s="8"/>
    </x:row>
    <x:row r="24">
      <x:c r="A24" s="8" t="str">
        <x:f>IF(B24="","","WB-"&amp;TEXT(ROW()-1,"000"))</x:f>
      </x:c>
      <x:c r="B24" s="8"/>
      <x:c r="C24" s="8"/>
      <x:c r="D24" s="10"/>
      <x:c r="E24" s="8"/>
      <x:c r="F24" s="8"/>
      <x:c r="G24" s="8"/>
      <x:c r="H24" s="8"/>
      <x:c r="I24" s="8"/>
      <x:c r="J24" s="10"/>
      <x:c r="K24" s="10"/>
      <x:c r="L24" s="10" t="n">
        <x:f>IF(OR(D24="",K24=""),0,MAX(0,D24-K24))</x:f>
        <x:v>0</x:v>
      </x:c>
      <x:c r="M24" s="8"/>
      <x:c r="N24" s="12" t="n">
        <x:f>Rules!$F$2</x:f>
        <x:v>0.2</x:v>
      </x:c>
      <x:c r="O24" s="10" t="n">
        <x:f>IF(M24="Verified",L24*N24,0)</x:f>
        <x:v>0</x:v>
      </x:c>
      <x:c r="P24" s="10" t="n">
        <x:f>IF(M24="Verified",L24-O24,0)</x:f>
        <x:v>0</x:v>
      </x:c>
      <x:c r="Q24" s="14"/>
      <x:c r="R24" s="8"/>
      <x:c r="S24" s="8"/>
      <x:c r="T24" s="14"/>
      <x:c r="U24" s="8"/>
    </x:row>
    <x:row r="25">
      <x:c r="A25" s="8" t="str">
        <x:f>IF(B25="","","WB-"&amp;TEXT(ROW()-1,"000"))</x:f>
      </x:c>
      <x:c r="B25" s="8"/>
      <x:c r="C25" s="8"/>
      <x:c r="D25" s="10"/>
      <x:c r="E25" s="8"/>
      <x:c r="F25" s="8"/>
      <x:c r="G25" s="8"/>
      <x:c r="H25" s="8"/>
      <x:c r="I25" s="8"/>
      <x:c r="J25" s="10"/>
      <x:c r="K25" s="10"/>
      <x:c r="L25" s="10" t="n">
        <x:f>IF(OR(D25="",K25=""),0,MAX(0,D25-K25))</x:f>
        <x:v>0</x:v>
      </x:c>
      <x:c r="M25" s="8"/>
      <x:c r="N25" s="12" t="n">
        <x:f>Rules!$F$2</x:f>
        <x:v>0.2</x:v>
      </x:c>
      <x:c r="O25" s="10" t="n">
        <x:f>IF(M25="Verified",L25*N25,0)</x:f>
        <x:v>0</x:v>
      </x:c>
      <x:c r="P25" s="10" t="n">
        <x:f>IF(M25="Verified",L25-O25,0)</x:f>
        <x:v>0</x:v>
      </x:c>
      <x:c r="Q25" s="14"/>
      <x:c r="R25" s="8"/>
      <x:c r="S25" s="8"/>
      <x:c r="T25" s="14"/>
      <x:c r="U25" s="8"/>
    </x:row>
    <x:row r="26">
      <x:c r="A26" s="8" t="str">
        <x:f>IF(B26="","","WB-"&amp;TEXT(ROW()-1,"000"))</x:f>
      </x:c>
      <x:c r="B26" s="8"/>
      <x:c r="C26" s="8"/>
      <x:c r="D26" s="10"/>
      <x:c r="E26" s="8"/>
      <x:c r="F26" s="8"/>
      <x:c r="G26" s="8"/>
      <x:c r="H26" s="8"/>
      <x:c r="I26" s="8"/>
      <x:c r="J26" s="10"/>
      <x:c r="K26" s="10"/>
      <x:c r="L26" s="10" t="n">
        <x:f>IF(OR(D26="",K26=""),0,MAX(0,D26-K26))</x:f>
        <x:v>0</x:v>
      </x:c>
      <x:c r="M26" s="8"/>
      <x:c r="N26" s="12" t="n">
        <x:f>Rules!$F$2</x:f>
        <x:v>0.2</x:v>
      </x:c>
      <x:c r="O26" s="10" t="n">
        <x:f>IF(M26="Verified",L26*N26,0)</x:f>
        <x:v>0</x:v>
      </x:c>
      <x:c r="P26" s="10" t="n">
        <x:f>IF(M26="Verified",L26-O26,0)</x:f>
        <x:v>0</x:v>
      </x:c>
      <x:c r="Q26" s="14"/>
      <x:c r="R26" s="8"/>
      <x:c r="S26" s="8"/>
      <x:c r="T26" s="14"/>
      <x:c r="U26" s="8"/>
    </x:row>
    <x:row r="27">
      <x:c r="A27" s="8" t="str">
        <x:f>IF(B27="","","WB-"&amp;TEXT(ROW()-1,"000"))</x:f>
      </x:c>
      <x:c r="B27" s="8"/>
      <x:c r="C27" s="8"/>
      <x:c r="D27" s="10"/>
      <x:c r="E27" s="8"/>
      <x:c r="F27" s="8"/>
      <x:c r="G27" s="8"/>
      <x:c r="H27" s="8"/>
      <x:c r="I27" s="8"/>
      <x:c r="J27" s="10"/>
      <x:c r="K27" s="10"/>
      <x:c r="L27" s="10" t="n">
        <x:f>IF(OR(D27="",K27=""),0,MAX(0,D27-K27))</x:f>
        <x:v>0</x:v>
      </x:c>
      <x:c r="M27" s="8"/>
      <x:c r="N27" s="12" t="n">
        <x:f>Rules!$F$2</x:f>
        <x:v>0.2</x:v>
      </x:c>
      <x:c r="O27" s="10" t="n">
        <x:f>IF(M27="Verified",L27*N27,0)</x:f>
        <x:v>0</x:v>
      </x:c>
      <x:c r="P27" s="10" t="n">
        <x:f>IF(M27="Verified",L27-O27,0)</x:f>
        <x:v>0</x:v>
      </x:c>
      <x:c r="Q27" s="14"/>
      <x:c r="R27" s="8"/>
      <x:c r="S27" s="8"/>
      <x:c r="T27" s="14"/>
      <x:c r="U27" s="8"/>
    </x:row>
    <x:row r="28">
      <x:c r="A28" s="8" t="str">
        <x:f>IF(B28="","","WB-"&amp;TEXT(ROW()-1,"000"))</x:f>
      </x:c>
      <x:c r="B28" s="8"/>
      <x:c r="C28" s="8"/>
      <x:c r="D28" s="10"/>
      <x:c r="E28" s="8"/>
      <x:c r="F28" s="8"/>
      <x:c r="G28" s="8"/>
      <x:c r="H28" s="8"/>
      <x:c r="I28" s="8"/>
      <x:c r="J28" s="10"/>
      <x:c r="K28" s="10"/>
      <x:c r="L28" s="10" t="n">
        <x:f>IF(OR(D28="",K28=""),0,MAX(0,D28-K28))</x:f>
        <x:v>0</x:v>
      </x:c>
      <x:c r="M28" s="8"/>
      <x:c r="N28" s="12" t="n">
        <x:f>Rules!$F$2</x:f>
        <x:v>0.2</x:v>
      </x:c>
      <x:c r="O28" s="10" t="n">
        <x:f>IF(M28="Verified",L28*N28,0)</x:f>
        <x:v>0</x:v>
      </x:c>
      <x:c r="P28" s="10" t="n">
        <x:f>IF(M28="Verified",L28-O28,0)</x:f>
        <x:v>0</x:v>
      </x:c>
      <x:c r="Q28" s="14"/>
      <x:c r="R28" s="8"/>
      <x:c r="S28" s="8"/>
      <x:c r="T28" s="14"/>
      <x:c r="U28" s="8"/>
    </x:row>
    <x:row r="29">
      <x:c r="A29" s="8" t="str">
        <x:f>IF(B29="","","WB-"&amp;TEXT(ROW()-1,"000"))</x:f>
      </x:c>
      <x:c r="B29" s="8"/>
      <x:c r="C29" s="8"/>
      <x:c r="D29" s="10"/>
      <x:c r="E29" s="8"/>
      <x:c r="F29" s="8"/>
      <x:c r="G29" s="8"/>
      <x:c r="H29" s="8"/>
      <x:c r="I29" s="8"/>
      <x:c r="J29" s="10"/>
      <x:c r="K29" s="10"/>
      <x:c r="L29" s="10" t="n">
        <x:f>IF(OR(D29="",K29=""),0,MAX(0,D29-K29))</x:f>
        <x:v>0</x:v>
      </x:c>
      <x:c r="M29" s="8"/>
      <x:c r="N29" s="12" t="n">
        <x:f>Rules!$F$2</x:f>
        <x:v>0.2</x:v>
      </x:c>
      <x:c r="O29" s="10" t="n">
        <x:f>IF(M29="Verified",L29*N29,0)</x:f>
        <x:v>0</x:v>
      </x:c>
      <x:c r="P29" s="10" t="n">
        <x:f>IF(M29="Verified",L29-O29,0)</x:f>
        <x:v>0</x:v>
      </x:c>
      <x:c r="Q29" s="14"/>
      <x:c r="R29" s="8"/>
      <x:c r="S29" s="8"/>
      <x:c r="T29" s="14"/>
      <x:c r="U29" s="8"/>
    </x:row>
    <x:row r="30">
      <x:c r="A30" s="8" t="str">
        <x:f>IF(B30="","","WB-"&amp;TEXT(ROW()-1,"000"))</x:f>
      </x:c>
      <x:c r="B30" s="8"/>
      <x:c r="C30" s="8"/>
      <x:c r="D30" s="10"/>
      <x:c r="E30" s="8"/>
      <x:c r="F30" s="8"/>
      <x:c r="G30" s="8"/>
      <x:c r="H30" s="8"/>
      <x:c r="I30" s="8"/>
      <x:c r="J30" s="10"/>
      <x:c r="K30" s="10"/>
      <x:c r="L30" s="10" t="n">
        <x:f>IF(OR(D30="",K30=""),0,MAX(0,D30-K30))</x:f>
        <x:v>0</x:v>
      </x:c>
      <x:c r="M30" s="8"/>
      <x:c r="N30" s="12" t="n">
        <x:f>Rules!$F$2</x:f>
        <x:v>0.2</x:v>
      </x:c>
      <x:c r="O30" s="10" t="n">
        <x:f>IF(M30="Verified",L30*N30,0)</x:f>
        <x:v>0</x:v>
      </x:c>
      <x:c r="P30" s="10" t="n">
        <x:f>IF(M30="Verified",L30-O30,0)</x:f>
        <x:v>0</x:v>
      </x:c>
      <x:c r="Q30" s="14"/>
      <x:c r="R30" s="8"/>
      <x:c r="S30" s="8"/>
      <x:c r="T30" s="14"/>
      <x:c r="U30" s="8"/>
    </x:row>
    <x:row r="31">
      <x:c r="A31" s="8" t="str">
        <x:f>IF(B31="","","WB-"&amp;TEXT(ROW()-1,"000"))</x:f>
      </x:c>
      <x:c r="B31" s="8"/>
      <x:c r="C31" s="8"/>
      <x:c r="D31" s="10"/>
      <x:c r="E31" s="8"/>
      <x:c r="F31" s="8"/>
      <x:c r="G31" s="8"/>
      <x:c r="H31" s="8"/>
      <x:c r="I31" s="8"/>
      <x:c r="J31" s="10"/>
      <x:c r="K31" s="10"/>
      <x:c r="L31" s="10" t="n">
        <x:f>IF(OR(D31="",K31=""),0,MAX(0,D31-K31))</x:f>
        <x:v>0</x:v>
      </x:c>
      <x:c r="M31" s="8"/>
      <x:c r="N31" s="12" t="n">
        <x:f>Rules!$F$2</x:f>
        <x:v>0.2</x:v>
      </x:c>
      <x:c r="O31" s="10" t="n">
        <x:f>IF(M31="Verified",L31*N31,0)</x:f>
        <x:v>0</x:v>
      </x:c>
      <x:c r="P31" s="10" t="n">
        <x:f>IF(M31="Verified",L31-O31,0)</x:f>
        <x:v>0</x:v>
      </x:c>
      <x:c r="Q31" s="14"/>
      <x:c r="R31" s="8"/>
      <x:c r="S31" s="8"/>
      <x:c r="T31" s="14"/>
      <x:c r="U31" s="8"/>
    </x:row>
    <x:row r="32">
      <x:c r="A32" s="8" t="str">
        <x:f>IF(B32="","","WB-"&amp;TEXT(ROW()-1,"000"))</x:f>
      </x:c>
      <x:c r="B32" s="8"/>
      <x:c r="C32" s="8"/>
      <x:c r="D32" s="10"/>
      <x:c r="E32" s="8"/>
      <x:c r="F32" s="8"/>
      <x:c r="G32" s="8"/>
      <x:c r="H32" s="8"/>
      <x:c r="I32" s="8"/>
      <x:c r="J32" s="10"/>
      <x:c r="K32" s="10"/>
      <x:c r="L32" s="10" t="n">
        <x:f>IF(OR(D32="",K32=""),0,MAX(0,D32-K32))</x:f>
        <x:v>0</x:v>
      </x:c>
      <x:c r="M32" s="8"/>
      <x:c r="N32" s="12" t="n">
        <x:f>Rules!$F$2</x:f>
        <x:v>0.2</x:v>
      </x:c>
      <x:c r="O32" s="10" t="n">
        <x:f>IF(M32="Verified",L32*N32,0)</x:f>
        <x:v>0</x:v>
      </x:c>
      <x:c r="P32" s="10" t="n">
        <x:f>IF(M32="Verified",L32-O32,0)</x:f>
        <x:v>0</x:v>
      </x:c>
      <x:c r="Q32" s="14"/>
      <x:c r="R32" s="8"/>
      <x:c r="S32" s="8"/>
      <x:c r="T32" s="14"/>
      <x:c r="U32" s="8"/>
    </x:row>
    <x:row r="33">
      <x:c r="A33" s="8" t="str">
        <x:f>IF(B33="","","WB-"&amp;TEXT(ROW()-1,"000"))</x:f>
      </x:c>
      <x:c r="B33" s="8"/>
      <x:c r="C33" s="8"/>
      <x:c r="D33" s="10"/>
      <x:c r="E33" s="8"/>
      <x:c r="F33" s="8"/>
      <x:c r="G33" s="8"/>
      <x:c r="H33" s="8"/>
      <x:c r="I33" s="8"/>
      <x:c r="J33" s="10"/>
      <x:c r="K33" s="10"/>
      <x:c r="L33" s="10" t="n">
        <x:f>IF(OR(D33="",K33=""),0,MAX(0,D33-K33))</x:f>
        <x:v>0</x:v>
      </x:c>
      <x:c r="M33" s="8"/>
      <x:c r="N33" s="12" t="n">
        <x:f>Rules!$F$2</x:f>
        <x:v>0.2</x:v>
      </x:c>
      <x:c r="O33" s="10" t="n">
        <x:f>IF(M33="Verified",L33*N33,0)</x:f>
        <x:v>0</x:v>
      </x:c>
      <x:c r="P33" s="10" t="n">
        <x:f>IF(M33="Verified",L33-O33,0)</x:f>
        <x:v>0</x:v>
      </x:c>
      <x:c r="Q33" s="14"/>
      <x:c r="R33" s="8"/>
      <x:c r="S33" s="8"/>
      <x:c r="T33" s="14"/>
      <x:c r="U33" s="8"/>
    </x:row>
    <x:row r="34">
      <x:c r="A34" s="8" t="str">
        <x:f>IF(B34="","","WB-"&amp;TEXT(ROW()-1,"000"))</x:f>
      </x:c>
      <x:c r="B34" s="8"/>
      <x:c r="C34" s="8"/>
      <x:c r="D34" s="10"/>
      <x:c r="E34" s="8"/>
      <x:c r="F34" s="8"/>
      <x:c r="G34" s="8"/>
      <x:c r="H34" s="8"/>
      <x:c r="I34" s="8"/>
      <x:c r="J34" s="10"/>
      <x:c r="K34" s="10"/>
      <x:c r="L34" s="10" t="n">
        <x:f>IF(OR(D34="",K34=""),0,MAX(0,D34-K34))</x:f>
        <x:v>0</x:v>
      </x:c>
      <x:c r="M34" s="8"/>
      <x:c r="N34" s="12" t="n">
        <x:f>Rules!$F$2</x:f>
        <x:v>0.2</x:v>
      </x:c>
      <x:c r="O34" s="10" t="n">
        <x:f>IF(M34="Verified",L34*N34,0)</x:f>
        <x:v>0</x:v>
      </x:c>
      <x:c r="P34" s="10" t="n">
        <x:f>IF(M34="Verified",L34-O34,0)</x:f>
        <x:v>0</x:v>
      </x:c>
      <x:c r="Q34" s="14"/>
      <x:c r="R34" s="8"/>
      <x:c r="S34" s="8"/>
      <x:c r="T34" s="14"/>
      <x:c r="U34" s="8"/>
    </x:row>
    <x:row r="35">
      <x:c r="A35" s="8" t="str">
        <x:f>IF(B35="","","WB-"&amp;TEXT(ROW()-1,"000"))</x:f>
      </x:c>
      <x:c r="B35" s="8"/>
      <x:c r="C35" s="8"/>
      <x:c r="D35" s="10"/>
      <x:c r="E35" s="8"/>
      <x:c r="F35" s="8"/>
      <x:c r="G35" s="8"/>
      <x:c r="H35" s="8"/>
      <x:c r="I35" s="8"/>
      <x:c r="J35" s="10"/>
      <x:c r="K35" s="10"/>
      <x:c r="L35" s="10" t="n">
        <x:f>IF(OR(D35="",K35=""),0,MAX(0,D35-K35))</x:f>
        <x:v>0</x:v>
      </x:c>
      <x:c r="M35" s="8"/>
      <x:c r="N35" s="12" t="n">
        <x:f>Rules!$F$2</x:f>
        <x:v>0.2</x:v>
      </x:c>
      <x:c r="O35" s="10" t="n">
        <x:f>IF(M35="Verified",L35*N35,0)</x:f>
        <x:v>0</x:v>
      </x:c>
      <x:c r="P35" s="10" t="n">
        <x:f>IF(M35="Verified",L35-O35,0)</x:f>
        <x:v>0</x:v>
      </x:c>
      <x:c r="Q35" s="14"/>
      <x:c r="R35" s="8"/>
      <x:c r="S35" s="8"/>
      <x:c r="T35" s="14"/>
      <x:c r="U35" s="8"/>
    </x:row>
    <x:row r="36">
      <x:c r="A36" s="8" t="str">
        <x:f>IF(B36="","","WB-"&amp;TEXT(ROW()-1,"000"))</x:f>
      </x:c>
      <x:c r="B36" s="8"/>
      <x:c r="C36" s="8"/>
      <x:c r="D36" s="10"/>
      <x:c r="E36" s="8"/>
      <x:c r="F36" s="8"/>
      <x:c r="G36" s="8"/>
      <x:c r="H36" s="8"/>
      <x:c r="I36" s="8"/>
      <x:c r="J36" s="10"/>
      <x:c r="K36" s="10"/>
      <x:c r="L36" s="10" t="n">
        <x:f>IF(OR(D36="",K36=""),0,MAX(0,D36-K36))</x:f>
        <x:v>0</x:v>
      </x:c>
      <x:c r="M36" s="8"/>
      <x:c r="N36" s="12" t="n">
        <x:f>Rules!$F$2</x:f>
        <x:v>0.2</x:v>
      </x:c>
      <x:c r="O36" s="10" t="n">
        <x:f>IF(M36="Verified",L36*N36,0)</x:f>
        <x:v>0</x:v>
      </x:c>
      <x:c r="P36" s="10" t="n">
        <x:f>IF(M36="Verified",L36-O36,0)</x:f>
        <x:v>0</x:v>
      </x:c>
      <x:c r="Q36" s="14"/>
      <x:c r="R36" s="8"/>
      <x:c r="S36" s="8"/>
      <x:c r="T36" s="14"/>
      <x:c r="U36" s="8"/>
    </x:row>
    <x:row r="37">
      <x:c r="A37" s="8" t="str">
        <x:f>IF(B37="","","WB-"&amp;TEXT(ROW()-1,"000"))</x:f>
      </x:c>
      <x:c r="B37" s="8"/>
      <x:c r="C37" s="8"/>
      <x:c r="D37" s="10"/>
      <x:c r="E37" s="8"/>
      <x:c r="F37" s="8"/>
      <x:c r="G37" s="8"/>
      <x:c r="H37" s="8"/>
      <x:c r="I37" s="8"/>
      <x:c r="J37" s="10"/>
      <x:c r="K37" s="10"/>
      <x:c r="L37" s="10" t="n">
        <x:f>IF(OR(D37="",K37=""),0,MAX(0,D37-K37))</x:f>
        <x:v>0</x:v>
      </x:c>
      <x:c r="M37" s="8"/>
      <x:c r="N37" s="12" t="n">
        <x:f>Rules!$F$2</x:f>
        <x:v>0.2</x:v>
      </x:c>
      <x:c r="O37" s="10" t="n">
        <x:f>IF(M37="Verified",L37*N37,0)</x:f>
        <x:v>0</x:v>
      </x:c>
      <x:c r="P37" s="10" t="n">
        <x:f>IF(M37="Verified",L37-O37,0)</x:f>
        <x:v>0</x:v>
      </x:c>
      <x:c r="Q37" s="14"/>
      <x:c r="R37" s="8"/>
      <x:c r="S37" s="8"/>
      <x:c r="T37" s="14"/>
      <x:c r="U37" s="8"/>
    </x:row>
    <x:row r="38">
      <x:c r="A38" s="8" t="str">
        <x:f>IF(B38="","","WB-"&amp;TEXT(ROW()-1,"000"))</x:f>
      </x:c>
      <x:c r="B38" s="8"/>
      <x:c r="C38" s="8"/>
      <x:c r="D38" s="10"/>
      <x:c r="E38" s="8"/>
      <x:c r="F38" s="8"/>
      <x:c r="G38" s="8"/>
      <x:c r="H38" s="8"/>
      <x:c r="I38" s="8"/>
      <x:c r="J38" s="10"/>
      <x:c r="K38" s="10"/>
      <x:c r="L38" s="10" t="n">
        <x:f>IF(OR(D38="",K38=""),0,MAX(0,D38-K38))</x:f>
        <x:v>0</x:v>
      </x:c>
      <x:c r="M38" s="8"/>
      <x:c r="N38" s="12" t="n">
        <x:f>Rules!$F$2</x:f>
        <x:v>0.2</x:v>
      </x:c>
      <x:c r="O38" s="10" t="n">
        <x:f>IF(M38="Verified",L38*N38,0)</x:f>
        <x:v>0</x:v>
      </x:c>
      <x:c r="P38" s="10" t="n">
        <x:f>IF(M38="Verified",L38-O38,0)</x:f>
        <x:v>0</x:v>
      </x:c>
      <x:c r="Q38" s="14"/>
      <x:c r="R38" s="8"/>
      <x:c r="S38" s="8"/>
      <x:c r="T38" s="14"/>
      <x:c r="U38" s="8"/>
    </x:row>
    <x:row r="39">
      <x:c r="A39" s="8" t="str">
        <x:f>IF(B39="","","WB-"&amp;TEXT(ROW()-1,"000"))</x:f>
      </x:c>
      <x:c r="B39" s="8"/>
      <x:c r="C39" s="8"/>
      <x:c r="D39" s="10"/>
      <x:c r="E39" s="8"/>
      <x:c r="F39" s="8"/>
      <x:c r="G39" s="8"/>
      <x:c r="H39" s="8"/>
      <x:c r="I39" s="8"/>
      <x:c r="J39" s="10"/>
      <x:c r="K39" s="10"/>
      <x:c r="L39" s="10" t="n">
        <x:f>IF(OR(D39="",K39=""),0,MAX(0,D39-K39))</x:f>
        <x:v>0</x:v>
      </x:c>
      <x:c r="M39" s="8"/>
      <x:c r="N39" s="12" t="n">
        <x:f>Rules!$F$2</x:f>
        <x:v>0.2</x:v>
      </x:c>
      <x:c r="O39" s="10" t="n">
        <x:f>IF(M39="Verified",L39*N39,0)</x:f>
        <x:v>0</x:v>
      </x:c>
      <x:c r="P39" s="10" t="n">
        <x:f>IF(M39="Verified",L39-O39,0)</x:f>
        <x:v>0</x:v>
      </x:c>
      <x:c r="Q39" s="14"/>
      <x:c r="R39" s="8"/>
      <x:c r="S39" s="8"/>
      <x:c r="T39" s="14"/>
      <x:c r="U39" s="8"/>
    </x:row>
    <x:row r="40">
      <x:c r="A40" s="8" t="str">
        <x:f>IF(B40="","","WB-"&amp;TEXT(ROW()-1,"000"))</x:f>
      </x:c>
      <x:c r="B40" s="8"/>
      <x:c r="C40" s="8"/>
      <x:c r="D40" s="10"/>
      <x:c r="E40" s="8"/>
      <x:c r="F40" s="8"/>
      <x:c r="G40" s="8"/>
      <x:c r="H40" s="8"/>
      <x:c r="I40" s="8"/>
      <x:c r="J40" s="10"/>
      <x:c r="K40" s="10"/>
      <x:c r="L40" s="10" t="n">
        <x:f>IF(OR(D40="",K40=""),0,MAX(0,D40-K40))</x:f>
        <x:v>0</x:v>
      </x:c>
      <x:c r="M40" s="8"/>
      <x:c r="N40" s="12" t="n">
        <x:f>Rules!$F$2</x:f>
        <x:v>0.2</x:v>
      </x:c>
      <x:c r="O40" s="10" t="n">
        <x:f>IF(M40="Verified",L40*N40,0)</x:f>
        <x:v>0</x:v>
      </x:c>
      <x:c r="P40" s="10" t="n">
        <x:f>IF(M40="Verified",L40-O40,0)</x:f>
        <x:v>0</x:v>
      </x:c>
      <x:c r="Q40" s="14"/>
      <x:c r="R40" s="8"/>
      <x:c r="S40" s="8"/>
      <x:c r="T40" s="14"/>
      <x:c r="U40" s="8"/>
    </x:row>
    <x:row r="41">
      <x:c r="A41" s="8" t="str">
        <x:f>IF(B41="","","WB-"&amp;TEXT(ROW()-1,"000"))</x:f>
      </x:c>
      <x:c r="B41" s="8"/>
      <x:c r="C41" s="8"/>
      <x:c r="D41" s="10"/>
      <x:c r="E41" s="8"/>
      <x:c r="F41" s="8"/>
      <x:c r="G41" s="8"/>
      <x:c r="H41" s="8"/>
      <x:c r="I41" s="8"/>
      <x:c r="J41" s="10"/>
      <x:c r="K41" s="10"/>
      <x:c r="L41" s="10" t="n">
        <x:f>IF(OR(D41="",K41=""),0,MAX(0,D41-K41))</x:f>
        <x:v>0</x:v>
      </x:c>
      <x:c r="M41" s="8"/>
      <x:c r="N41" s="12" t="n">
        <x:f>Rules!$F$2</x:f>
        <x:v>0.2</x:v>
      </x:c>
      <x:c r="O41" s="10" t="n">
        <x:f>IF(M41="Verified",L41*N41,0)</x:f>
        <x:v>0</x:v>
      </x:c>
      <x:c r="P41" s="10" t="n">
        <x:f>IF(M41="Verified",L41-O41,0)</x:f>
        <x:v>0</x:v>
      </x:c>
      <x:c r="Q41" s="14"/>
      <x:c r="R41" s="8"/>
      <x:c r="S41" s="8"/>
      <x:c r="T41" s="14"/>
      <x:c r="U41" s="8"/>
    </x:row>
    <x:row r="42">
      <x:c r="A42" s="8" t="str">
        <x:f>IF(B42="","","WB-"&amp;TEXT(ROW()-1,"000"))</x:f>
      </x:c>
      <x:c r="B42" s="8"/>
      <x:c r="C42" s="8"/>
      <x:c r="D42" s="10"/>
      <x:c r="E42" s="8"/>
      <x:c r="F42" s="8"/>
      <x:c r="G42" s="8"/>
      <x:c r="H42" s="8"/>
      <x:c r="I42" s="8"/>
      <x:c r="J42" s="10"/>
      <x:c r="K42" s="10"/>
      <x:c r="L42" s="10" t="n">
        <x:f>IF(OR(D42="",K42=""),0,MAX(0,D42-K42))</x:f>
        <x:v>0</x:v>
      </x:c>
      <x:c r="M42" s="8"/>
      <x:c r="N42" s="12" t="n">
        <x:f>Rules!$F$2</x:f>
        <x:v>0.2</x:v>
      </x:c>
      <x:c r="O42" s="10" t="n">
        <x:f>IF(M42="Verified",L42*N42,0)</x:f>
        <x:v>0</x:v>
      </x:c>
      <x:c r="P42" s="10" t="n">
        <x:f>IF(M42="Verified",L42-O42,0)</x:f>
        <x:v>0</x:v>
      </x:c>
      <x:c r="Q42" s="14"/>
      <x:c r="R42" s="8"/>
      <x:c r="S42" s="8"/>
      <x:c r="T42" s="14"/>
      <x:c r="U42" s="8"/>
    </x:row>
    <x:row r="43">
      <x:c r="A43" s="8" t="str">
        <x:f>IF(B43="","","WB-"&amp;TEXT(ROW()-1,"000"))</x:f>
      </x:c>
      <x:c r="B43" s="8"/>
      <x:c r="C43" s="8"/>
      <x:c r="D43" s="10"/>
      <x:c r="E43" s="8"/>
      <x:c r="F43" s="8"/>
      <x:c r="G43" s="8"/>
      <x:c r="H43" s="8"/>
      <x:c r="I43" s="8"/>
      <x:c r="J43" s="10"/>
      <x:c r="K43" s="10"/>
      <x:c r="L43" s="10" t="n">
        <x:f>IF(OR(D43="",K43=""),0,MAX(0,D43-K43))</x:f>
        <x:v>0</x:v>
      </x:c>
      <x:c r="M43" s="8"/>
      <x:c r="N43" s="12" t="n">
        <x:f>Rules!$F$2</x:f>
        <x:v>0.2</x:v>
      </x:c>
      <x:c r="O43" s="10" t="n">
        <x:f>IF(M43="Verified",L43*N43,0)</x:f>
        <x:v>0</x:v>
      </x:c>
      <x:c r="P43" s="10" t="n">
        <x:f>IF(M43="Verified",L43-O43,0)</x:f>
        <x:v>0</x:v>
      </x:c>
      <x:c r="Q43" s="14"/>
      <x:c r="R43" s="8"/>
      <x:c r="S43" s="8"/>
      <x:c r="T43" s="14"/>
      <x:c r="U43" s="8"/>
    </x:row>
    <x:row r="44">
      <x:c r="A44" s="8" t="str">
        <x:f>IF(B44="","","WB-"&amp;TEXT(ROW()-1,"000"))</x:f>
      </x:c>
      <x:c r="B44" s="8"/>
      <x:c r="C44" s="8"/>
      <x:c r="D44" s="10"/>
      <x:c r="E44" s="8"/>
      <x:c r="F44" s="8"/>
      <x:c r="G44" s="8"/>
      <x:c r="H44" s="8"/>
      <x:c r="I44" s="8"/>
      <x:c r="J44" s="10"/>
      <x:c r="K44" s="10"/>
      <x:c r="L44" s="10" t="n">
        <x:f>IF(OR(D44="",K44=""),0,MAX(0,D44-K44))</x:f>
        <x:v>0</x:v>
      </x:c>
      <x:c r="M44" s="8"/>
      <x:c r="N44" s="12" t="n">
        <x:f>Rules!$F$2</x:f>
        <x:v>0.2</x:v>
      </x:c>
      <x:c r="O44" s="10" t="n">
        <x:f>IF(M44="Verified",L44*N44,0)</x:f>
        <x:v>0</x:v>
      </x:c>
      <x:c r="P44" s="10" t="n">
        <x:f>IF(M44="Verified",L44-O44,0)</x:f>
        <x:v>0</x:v>
      </x:c>
      <x:c r="Q44" s="14"/>
      <x:c r="R44" s="8"/>
      <x:c r="S44" s="8"/>
      <x:c r="T44" s="14"/>
      <x:c r="U44" s="8"/>
    </x:row>
    <x:row r="45">
      <x:c r="A45" s="8" t="str">
        <x:f>IF(B45="","","WB-"&amp;TEXT(ROW()-1,"000"))</x:f>
      </x:c>
      <x:c r="B45" s="8"/>
      <x:c r="C45" s="8"/>
      <x:c r="D45" s="10"/>
      <x:c r="E45" s="8"/>
      <x:c r="F45" s="8"/>
      <x:c r="G45" s="8"/>
      <x:c r="H45" s="8"/>
      <x:c r="I45" s="8"/>
      <x:c r="J45" s="10"/>
      <x:c r="K45" s="10"/>
      <x:c r="L45" s="10" t="n">
        <x:f>IF(OR(D45="",K45=""),0,MAX(0,D45-K45))</x:f>
        <x:v>0</x:v>
      </x:c>
      <x:c r="M45" s="8"/>
      <x:c r="N45" s="12" t="n">
        <x:f>Rules!$F$2</x:f>
        <x:v>0.2</x:v>
      </x:c>
      <x:c r="O45" s="10" t="n">
        <x:f>IF(M45="Verified",L45*N45,0)</x:f>
        <x:v>0</x:v>
      </x:c>
      <x:c r="P45" s="10" t="n">
        <x:f>IF(M45="Verified",L45-O45,0)</x:f>
        <x:v>0</x:v>
      </x:c>
      <x:c r="Q45" s="14"/>
      <x:c r="R45" s="8"/>
      <x:c r="S45" s="8"/>
      <x:c r="T45" s="14"/>
      <x:c r="U45" s="8"/>
    </x:row>
    <x:row r="46">
      <x:c r="A46" s="8" t="str">
        <x:f>IF(B46="","","WB-"&amp;TEXT(ROW()-1,"000"))</x:f>
      </x:c>
      <x:c r="B46" s="8"/>
      <x:c r="C46" s="8"/>
      <x:c r="D46" s="10"/>
      <x:c r="E46" s="8"/>
      <x:c r="F46" s="8"/>
      <x:c r="G46" s="8"/>
      <x:c r="H46" s="8"/>
      <x:c r="I46" s="8"/>
      <x:c r="J46" s="10"/>
      <x:c r="K46" s="10"/>
      <x:c r="L46" s="10" t="n">
        <x:f>IF(OR(D46="",K46=""),0,MAX(0,D46-K46))</x:f>
        <x:v>0</x:v>
      </x:c>
      <x:c r="M46" s="8"/>
      <x:c r="N46" s="12" t="n">
        <x:f>Rules!$F$2</x:f>
        <x:v>0.2</x:v>
      </x:c>
      <x:c r="O46" s="10" t="n">
        <x:f>IF(M46="Verified",L46*N46,0)</x:f>
        <x:v>0</x:v>
      </x:c>
      <x:c r="P46" s="10" t="n">
        <x:f>IF(M46="Verified",L46-O46,0)</x:f>
        <x:v>0</x:v>
      </x:c>
      <x:c r="Q46" s="14"/>
      <x:c r="R46" s="8"/>
      <x:c r="S46" s="8"/>
      <x:c r="T46" s="14"/>
      <x:c r="U46" s="8"/>
    </x:row>
    <x:row r="47">
      <x:c r="A47" s="8" t="str">
        <x:f>IF(B47="","","WB-"&amp;TEXT(ROW()-1,"000"))</x:f>
      </x:c>
      <x:c r="B47" s="8"/>
      <x:c r="C47" s="8"/>
      <x:c r="D47" s="10"/>
      <x:c r="E47" s="8"/>
      <x:c r="F47" s="8"/>
      <x:c r="G47" s="8"/>
      <x:c r="H47" s="8"/>
      <x:c r="I47" s="8"/>
      <x:c r="J47" s="10"/>
      <x:c r="K47" s="10"/>
      <x:c r="L47" s="10" t="n">
        <x:f>IF(OR(D47="",K47=""),0,MAX(0,D47-K47))</x:f>
        <x:v>0</x:v>
      </x:c>
      <x:c r="M47" s="8"/>
      <x:c r="N47" s="12" t="n">
        <x:f>Rules!$F$2</x:f>
        <x:v>0.2</x:v>
      </x:c>
      <x:c r="O47" s="10" t="n">
        <x:f>IF(M47="Verified",L47*N47,0)</x:f>
        <x:v>0</x:v>
      </x:c>
      <x:c r="P47" s="10" t="n">
        <x:f>IF(M47="Verified",L47-O47,0)</x:f>
        <x:v>0</x:v>
      </x:c>
      <x:c r="Q47" s="14"/>
      <x:c r="R47" s="8"/>
      <x:c r="S47" s="8"/>
      <x:c r="T47" s="14"/>
      <x:c r="U47" s="8"/>
    </x:row>
    <x:row r="48">
      <x:c r="A48" s="8" t="str">
        <x:f>IF(B48="","","WB-"&amp;TEXT(ROW()-1,"000"))</x:f>
      </x:c>
      <x:c r="B48" s="8"/>
      <x:c r="C48" s="8"/>
      <x:c r="D48" s="10"/>
      <x:c r="E48" s="8"/>
      <x:c r="F48" s="8"/>
      <x:c r="G48" s="8"/>
      <x:c r="H48" s="8"/>
      <x:c r="I48" s="8"/>
      <x:c r="J48" s="10"/>
      <x:c r="K48" s="10"/>
      <x:c r="L48" s="10" t="n">
        <x:f>IF(OR(D48="",K48=""),0,MAX(0,D48-K48))</x:f>
        <x:v>0</x:v>
      </x:c>
      <x:c r="M48" s="8"/>
      <x:c r="N48" s="12" t="n">
        <x:f>Rules!$F$2</x:f>
        <x:v>0.2</x:v>
      </x:c>
      <x:c r="O48" s="10" t="n">
        <x:f>IF(M48="Verified",L48*N48,0)</x:f>
        <x:v>0</x:v>
      </x:c>
      <x:c r="P48" s="10" t="n">
        <x:f>IF(M48="Verified",L48-O48,0)</x:f>
        <x:v>0</x:v>
      </x:c>
      <x:c r="Q48" s="14"/>
      <x:c r="R48" s="8"/>
      <x:c r="S48" s="8"/>
      <x:c r="T48" s="14"/>
      <x:c r="U48" s="8"/>
    </x:row>
    <x:row r="49">
      <x:c r="A49" s="8" t="str">
        <x:f>IF(B49="","","WB-"&amp;TEXT(ROW()-1,"000"))</x:f>
      </x:c>
      <x:c r="B49" s="8"/>
      <x:c r="C49" s="8"/>
      <x:c r="D49" s="10"/>
      <x:c r="E49" s="8"/>
      <x:c r="F49" s="8"/>
      <x:c r="G49" s="8"/>
      <x:c r="H49" s="8"/>
      <x:c r="I49" s="8"/>
      <x:c r="J49" s="10"/>
      <x:c r="K49" s="10"/>
      <x:c r="L49" s="10" t="n">
        <x:f>IF(OR(D49="",K49=""),0,MAX(0,D49-K49))</x:f>
        <x:v>0</x:v>
      </x:c>
      <x:c r="M49" s="8"/>
      <x:c r="N49" s="12" t="n">
        <x:f>Rules!$F$2</x:f>
        <x:v>0.2</x:v>
      </x:c>
      <x:c r="O49" s="10" t="n">
        <x:f>IF(M49="Verified",L49*N49,0)</x:f>
        <x:v>0</x:v>
      </x:c>
      <x:c r="P49" s="10" t="n">
        <x:f>IF(M49="Verified",L49-O49,0)</x:f>
        <x:v>0</x:v>
      </x:c>
      <x:c r="Q49" s="14"/>
      <x:c r="R49" s="8"/>
      <x:c r="S49" s="8"/>
      <x:c r="T49" s="14"/>
      <x:c r="U49" s="8"/>
    </x:row>
    <x:row r="50">
      <x:c r="A50" s="8" t="str">
        <x:f>IF(B50="","","WB-"&amp;TEXT(ROW()-1,"000"))</x:f>
      </x:c>
      <x:c r="B50" s="8"/>
      <x:c r="C50" s="8"/>
      <x:c r="D50" s="10"/>
      <x:c r="E50" s="8"/>
      <x:c r="F50" s="8"/>
      <x:c r="G50" s="8"/>
      <x:c r="H50" s="8"/>
      <x:c r="I50" s="8"/>
      <x:c r="J50" s="10"/>
      <x:c r="K50" s="10"/>
      <x:c r="L50" s="10" t="n">
        <x:f>IF(OR(D50="",K50=""),0,MAX(0,D50-K50))</x:f>
        <x:v>0</x:v>
      </x:c>
      <x:c r="M50" s="8"/>
      <x:c r="N50" s="12" t="n">
        <x:f>Rules!$F$2</x:f>
        <x:v>0.2</x:v>
      </x:c>
      <x:c r="O50" s="10" t="n">
        <x:f>IF(M50="Verified",L50*N50,0)</x:f>
        <x:v>0</x:v>
      </x:c>
      <x:c r="P50" s="10" t="n">
        <x:f>IF(M50="Verified",L50-O50,0)</x:f>
        <x:v>0</x:v>
      </x:c>
      <x:c r="Q50" s="14"/>
      <x:c r="R50" s="8"/>
      <x:c r="S50" s="8"/>
      <x:c r="T50" s="14"/>
      <x:c r="U50" s="8"/>
    </x:row>
    <x:row r="51">
      <x:c r="A51" s="8" t="str">
        <x:f>IF(B51="","","WB-"&amp;TEXT(ROW()-1,"000"))</x:f>
      </x:c>
      <x:c r="B51" s="8"/>
      <x:c r="C51" s="8"/>
      <x:c r="D51" s="10"/>
      <x:c r="E51" s="8"/>
      <x:c r="F51" s="8"/>
      <x:c r="G51" s="8"/>
      <x:c r="H51" s="8"/>
      <x:c r="I51" s="8"/>
      <x:c r="J51" s="10"/>
      <x:c r="K51" s="10"/>
      <x:c r="L51" s="10" t="n">
        <x:f>IF(OR(D51="",K51=""),0,MAX(0,D51-K51))</x:f>
        <x:v>0</x:v>
      </x:c>
      <x:c r="M51" s="8"/>
      <x:c r="N51" s="12" t="n">
        <x:f>Rules!$F$2</x:f>
        <x:v>0.2</x:v>
      </x:c>
      <x:c r="O51" s="10" t="n">
        <x:f>IF(M51="Verified",L51*N51,0)</x:f>
        <x:v>0</x:v>
      </x:c>
      <x:c r="P51" s="10" t="n">
        <x:f>IF(M51="Verified",L51-O51,0)</x:f>
        <x:v>0</x:v>
      </x:c>
      <x:c r="Q51" s="14"/>
      <x:c r="R51" s="8"/>
      <x:c r="S51" s="8"/>
      <x:c r="T51" s="14"/>
      <x:c r="U51" s="8"/>
    </x:row>
    <x:row r="52">
      <x:c r="A52" s="8" t="str">
        <x:f>IF(B52="","","WB-"&amp;TEXT(ROW()-1,"000"))</x:f>
      </x:c>
      <x:c r="B52" s="8"/>
      <x:c r="C52" s="8"/>
      <x:c r="D52" s="10"/>
      <x:c r="E52" s="8"/>
      <x:c r="F52" s="8"/>
      <x:c r="G52" s="8"/>
      <x:c r="H52" s="8"/>
      <x:c r="I52" s="8"/>
      <x:c r="J52" s="10"/>
      <x:c r="K52" s="10"/>
      <x:c r="L52" s="10" t="n">
        <x:f>IF(OR(D52="",K52=""),0,MAX(0,D52-K52))</x:f>
        <x:v>0</x:v>
      </x:c>
      <x:c r="M52" s="8"/>
      <x:c r="N52" s="12" t="n">
        <x:f>Rules!$F$2</x:f>
        <x:v>0.2</x:v>
      </x:c>
      <x:c r="O52" s="10" t="n">
        <x:f>IF(M52="Verified",L52*N52,0)</x:f>
        <x:v>0</x:v>
      </x:c>
      <x:c r="P52" s="10" t="n">
        <x:f>IF(M52="Verified",L52-O52,0)</x:f>
        <x:v>0</x:v>
      </x:c>
      <x:c r="Q52" s="14"/>
      <x:c r="R52" s="8"/>
      <x:c r="S52" s="8"/>
      <x:c r="T52" s="14"/>
      <x:c r="U52" s="8"/>
    </x:row>
    <x:row r="53">
      <x:c r="A53" s="8" t="str">
        <x:f>IF(B53="","","WB-"&amp;TEXT(ROW()-1,"000"))</x:f>
      </x:c>
      <x:c r="B53" s="8"/>
      <x:c r="C53" s="8"/>
      <x:c r="D53" s="10"/>
      <x:c r="E53" s="8"/>
      <x:c r="F53" s="8"/>
      <x:c r="G53" s="8"/>
      <x:c r="H53" s="8"/>
      <x:c r="I53" s="8"/>
      <x:c r="J53" s="10"/>
      <x:c r="K53" s="10"/>
      <x:c r="L53" s="10" t="n">
        <x:f>IF(OR(D53="",K53=""),0,MAX(0,D53-K53))</x:f>
        <x:v>0</x:v>
      </x:c>
      <x:c r="M53" s="8"/>
      <x:c r="N53" s="12" t="n">
        <x:f>Rules!$F$2</x:f>
        <x:v>0.2</x:v>
      </x:c>
      <x:c r="O53" s="10" t="n">
        <x:f>IF(M53="Verified",L53*N53,0)</x:f>
        <x:v>0</x:v>
      </x:c>
      <x:c r="P53" s="10" t="n">
        <x:f>IF(M53="Verified",L53-O53,0)</x:f>
        <x:v>0</x:v>
      </x:c>
      <x:c r="Q53" s="14"/>
      <x:c r="R53" s="8"/>
      <x:c r="S53" s="8"/>
      <x:c r="T53" s="14"/>
      <x:c r="U53" s="8"/>
    </x:row>
    <x:row r="54">
      <x:c r="A54" s="8" t="str">
        <x:f>IF(B54="","","WB-"&amp;TEXT(ROW()-1,"000"))</x:f>
      </x:c>
      <x:c r="B54" s="8"/>
      <x:c r="C54" s="8"/>
      <x:c r="D54" s="10"/>
      <x:c r="E54" s="8"/>
      <x:c r="F54" s="8"/>
      <x:c r="G54" s="8"/>
      <x:c r="H54" s="8"/>
      <x:c r="I54" s="8"/>
      <x:c r="J54" s="10"/>
      <x:c r="K54" s="10"/>
      <x:c r="L54" s="10" t="n">
        <x:f>IF(OR(D54="",K54=""),0,MAX(0,D54-K54))</x:f>
        <x:v>0</x:v>
      </x:c>
      <x:c r="M54" s="8"/>
      <x:c r="N54" s="12" t="n">
        <x:f>Rules!$F$2</x:f>
        <x:v>0.2</x:v>
      </x:c>
      <x:c r="O54" s="10" t="n">
        <x:f>IF(M54="Verified",L54*N54,0)</x:f>
        <x:v>0</x:v>
      </x:c>
      <x:c r="P54" s="10" t="n">
        <x:f>IF(M54="Verified",L54-O54,0)</x:f>
        <x:v>0</x:v>
      </x:c>
      <x:c r="Q54" s="14"/>
      <x:c r="R54" s="8"/>
      <x:c r="S54" s="8"/>
      <x:c r="T54" s="14"/>
      <x:c r="U54" s="8"/>
    </x:row>
    <x:row r="55">
      <x:c r="A55" s="8" t="str">
        <x:f>IF(B55="","","WB-"&amp;TEXT(ROW()-1,"000"))</x:f>
      </x:c>
      <x:c r="B55" s="8"/>
      <x:c r="C55" s="8"/>
      <x:c r="D55" s="10"/>
      <x:c r="E55" s="8"/>
      <x:c r="F55" s="8"/>
      <x:c r="G55" s="8"/>
      <x:c r="H55" s="8"/>
      <x:c r="I55" s="8"/>
      <x:c r="J55" s="10"/>
      <x:c r="K55" s="10"/>
      <x:c r="L55" s="10" t="n">
        <x:f>IF(OR(D55="",K55=""),0,MAX(0,D55-K55))</x:f>
        <x:v>0</x:v>
      </x:c>
      <x:c r="M55" s="8"/>
      <x:c r="N55" s="12" t="n">
        <x:f>Rules!$F$2</x:f>
        <x:v>0.2</x:v>
      </x:c>
      <x:c r="O55" s="10" t="n">
        <x:f>IF(M55="Verified",L55*N55,0)</x:f>
        <x:v>0</x:v>
      </x:c>
      <x:c r="P55" s="10" t="n">
        <x:f>IF(M55="Verified",L55-O55,0)</x:f>
        <x:v>0</x:v>
      </x:c>
      <x:c r="Q55" s="14"/>
      <x:c r="R55" s="8"/>
      <x:c r="S55" s="8"/>
      <x:c r="T55" s="14"/>
      <x:c r="U55" s="8"/>
    </x:row>
    <x:row r="56">
      <x:c r="A56" s="8" t="str">
        <x:f>IF(B56="","","WB-"&amp;TEXT(ROW()-1,"000"))</x:f>
      </x:c>
      <x:c r="B56" s="8"/>
      <x:c r="C56" s="8"/>
      <x:c r="D56" s="10"/>
      <x:c r="E56" s="8"/>
      <x:c r="F56" s="8"/>
      <x:c r="G56" s="8"/>
      <x:c r="H56" s="8"/>
      <x:c r="I56" s="8"/>
      <x:c r="J56" s="10"/>
      <x:c r="K56" s="10"/>
      <x:c r="L56" s="10" t="n">
        <x:f>IF(OR(D56="",K56=""),0,MAX(0,D56-K56))</x:f>
        <x:v>0</x:v>
      </x:c>
      <x:c r="M56" s="8"/>
      <x:c r="N56" s="12" t="n">
        <x:f>Rules!$F$2</x:f>
        <x:v>0.2</x:v>
      </x:c>
      <x:c r="O56" s="10" t="n">
        <x:f>IF(M56="Verified",L56*N56,0)</x:f>
        <x:v>0</x:v>
      </x:c>
      <x:c r="P56" s="10" t="n">
        <x:f>IF(M56="Verified",L56-O56,0)</x:f>
        <x:v>0</x:v>
      </x:c>
      <x:c r="Q56" s="14"/>
      <x:c r="R56" s="8"/>
      <x:c r="S56" s="8"/>
      <x:c r="T56" s="14"/>
      <x:c r="U56" s="8"/>
    </x:row>
    <x:row r="57">
      <x:c r="A57" s="8" t="str">
        <x:f>IF(B57="","","WB-"&amp;TEXT(ROW()-1,"000"))</x:f>
      </x:c>
      <x:c r="B57" s="8"/>
      <x:c r="C57" s="8"/>
      <x:c r="D57" s="10"/>
      <x:c r="E57" s="8"/>
      <x:c r="F57" s="8"/>
      <x:c r="G57" s="8"/>
      <x:c r="H57" s="8"/>
      <x:c r="I57" s="8"/>
      <x:c r="J57" s="10"/>
      <x:c r="K57" s="10"/>
      <x:c r="L57" s="10" t="n">
        <x:f>IF(OR(D57="",K57=""),0,MAX(0,D57-K57))</x:f>
        <x:v>0</x:v>
      </x:c>
      <x:c r="M57" s="8"/>
      <x:c r="N57" s="12" t="n">
        <x:f>Rules!$F$2</x:f>
        <x:v>0.2</x:v>
      </x:c>
      <x:c r="O57" s="10" t="n">
        <x:f>IF(M57="Verified",L57*N57,0)</x:f>
        <x:v>0</x:v>
      </x:c>
      <x:c r="P57" s="10" t="n">
        <x:f>IF(M57="Verified",L57-O57,0)</x:f>
        <x:v>0</x:v>
      </x:c>
      <x:c r="Q57" s="14"/>
      <x:c r="R57" s="8"/>
      <x:c r="S57" s="8"/>
      <x:c r="T57" s="14"/>
      <x:c r="U57" s="8"/>
    </x:row>
    <x:row r="58">
      <x:c r="A58" s="8" t="str">
        <x:f>IF(B58="","","WB-"&amp;TEXT(ROW()-1,"000"))</x:f>
      </x:c>
      <x:c r="B58" s="8"/>
      <x:c r="C58" s="8"/>
      <x:c r="D58" s="10"/>
      <x:c r="E58" s="8"/>
      <x:c r="F58" s="8"/>
      <x:c r="G58" s="8"/>
      <x:c r="H58" s="8"/>
      <x:c r="I58" s="8"/>
      <x:c r="J58" s="10"/>
      <x:c r="K58" s="10"/>
      <x:c r="L58" s="10" t="n">
        <x:f>IF(OR(D58="",K58=""),0,MAX(0,D58-K58))</x:f>
        <x:v>0</x:v>
      </x:c>
      <x:c r="M58" s="8"/>
      <x:c r="N58" s="12" t="n">
        <x:f>Rules!$F$2</x:f>
        <x:v>0.2</x:v>
      </x:c>
      <x:c r="O58" s="10" t="n">
        <x:f>IF(M58="Verified",L58*N58,0)</x:f>
        <x:v>0</x:v>
      </x:c>
      <x:c r="P58" s="10" t="n">
        <x:f>IF(M58="Verified",L58-O58,0)</x:f>
        <x:v>0</x:v>
      </x:c>
      <x:c r="Q58" s="14"/>
      <x:c r="R58" s="8"/>
      <x:c r="S58" s="8"/>
      <x:c r="T58" s="14"/>
      <x:c r="U58" s="8"/>
    </x:row>
    <x:row r="59">
      <x:c r="A59" s="8" t="str">
        <x:f>IF(B59="","","WB-"&amp;TEXT(ROW()-1,"000"))</x:f>
      </x:c>
      <x:c r="B59" s="8"/>
      <x:c r="C59" s="8"/>
      <x:c r="D59" s="10"/>
      <x:c r="E59" s="8"/>
      <x:c r="F59" s="8"/>
      <x:c r="G59" s="8"/>
      <x:c r="H59" s="8"/>
      <x:c r="I59" s="8"/>
      <x:c r="J59" s="10"/>
      <x:c r="K59" s="10"/>
      <x:c r="L59" s="10" t="n">
        <x:f>IF(OR(D59="",K59=""),0,MAX(0,D59-K59))</x:f>
        <x:v>0</x:v>
      </x:c>
      <x:c r="M59" s="8"/>
      <x:c r="N59" s="12" t="n">
        <x:f>Rules!$F$2</x:f>
        <x:v>0.2</x:v>
      </x:c>
      <x:c r="O59" s="10" t="n">
        <x:f>IF(M59="Verified",L59*N59,0)</x:f>
        <x:v>0</x:v>
      </x:c>
      <x:c r="P59" s="10" t="n">
        <x:f>IF(M59="Verified",L59-O59,0)</x:f>
        <x:v>0</x:v>
      </x:c>
      <x:c r="Q59" s="14"/>
      <x:c r="R59" s="8"/>
      <x:c r="S59" s="8"/>
      <x:c r="T59" s="14"/>
      <x:c r="U59" s="8"/>
    </x:row>
    <x:row r="60">
      <x:c r="A60" s="8" t="str">
        <x:f>IF(B60="","","WB-"&amp;TEXT(ROW()-1,"000"))</x:f>
      </x:c>
      <x:c r="B60" s="8"/>
      <x:c r="C60" s="8"/>
      <x:c r="D60" s="10"/>
      <x:c r="E60" s="8"/>
      <x:c r="F60" s="8"/>
      <x:c r="G60" s="8"/>
      <x:c r="H60" s="8"/>
      <x:c r="I60" s="8"/>
      <x:c r="J60" s="10"/>
      <x:c r="K60" s="10"/>
      <x:c r="L60" s="10" t="n">
        <x:f>IF(OR(D60="",K60=""),0,MAX(0,D60-K60))</x:f>
        <x:v>0</x:v>
      </x:c>
      <x:c r="M60" s="8"/>
      <x:c r="N60" s="12" t="n">
        <x:f>Rules!$F$2</x:f>
        <x:v>0.2</x:v>
      </x:c>
      <x:c r="O60" s="10" t="n">
        <x:f>IF(M60="Verified",L60*N60,0)</x:f>
        <x:v>0</x:v>
      </x:c>
      <x:c r="P60" s="10" t="n">
        <x:f>IF(M60="Verified",L60-O60,0)</x:f>
        <x:v>0</x:v>
      </x:c>
      <x:c r="Q60" s="14"/>
      <x:c r="R60" s="8"/>
      <x:c r="S60" s="8"/>
      <x:c r="T60" s="14"/>
      <x:c r="U60" s="8"/>
    </x:row>
    <x:row r="61">
      <x:c r="A61" s="8" t="str">
        <x:f>IF(B61="","","WB-"&amp;TEXT(ROW()-1,"000"))</x:f>
      </x:c>
      <x:c r="B61" s="8"/>
      <x:c r="C61" s="8"/>
      <x:c r="D61" s="10"/>
      <x:c r="E61" s="8"/>
      <x:c r="F61" s="8"/>
      <x:c r="G61" s="8"/>
      <x:c r="H61" s="8"/>
      <x:c r="I61" s="8"/>
      <x:c r="J61" s="10"/>
      <x:c r="K61" s="10"/>
      <x:c r="L61" s="10" t="n">
        <x:f>IF(OR(D61="",K61=""),0,MAX(0,D61-K61))</x:f>
        <x:v>0</x:v>
      </x:c>
      <x:c r="M61" s="8"/>
      <x:c r="N61" s="12" t="n">
        <x:f>Rules!$F$2</x:f>
        <x:v>0.2</x:v>
      </x:c>
      <x:c r="O61" s="10" t="n">
        <x:f>IF(M61="Verified",L61*N61,0)</x:f>
        <x:v>0</x:v>
      </x:c>
      <x:c r="P61" s="10" t="n">
        <x:f>IF(M61="Verified",L61-O61,0)</x:f>
        <x:v>0</x:v>
      </x:c>
      <x:c r="Q61" s="14"/>
      <x:c r="R61" s="8"/>
      <x:c r="S61" s="8"/>
      <x:c r="T61" s="14"/>
      <x:c r="U61" s="8"/>
    </x:row>
    <x:row r="62">
      <x:c r="A62" s="8" t="str">
        <x:f>IF(B62="","","WB-"&amp;TEXT(ROW()-1,"000"))</x:f>
      </x:c>
      <x:c r="B62" s="8"/>
      <x:c r="C62" s="8"/>
      <x:c r="D62" s="10"/>
      <x:c r="E62" s="8"/>
      <x:c r="F62" s="8"/>
      <x:c r="G62" s="8"/>
      <x:c r="H62" s="8"/>
      <x:c r="I62" s="8"/>
      <x:c r="J62" s="10"/>
      <x:c r="K62" s="10"/>
      <x:c r="L62" s="10" t="n">
        <x:f>IF(OR(D62="",K62=""),0,MAX(0,D62-K62))</x:f>
        <x:v>0</x:v>
      </x:c>
      <x:c r="M62" s="8"/>
      <x:c r="N62" s="12" t="n">
        <x:f>Rules!$F$2</x:f>
        <x:v>0.2</x:v>
      </x:c>
      <x:c r="O62" s="10" t="n">
        <x:f>IF(M62="Verified",L62*N62,0)</x:f>
        <x:v>0</x:v>
      </x:c>
      <x:c r="P62" s="10" t="n">
        <x:f>IF(M62="Verified",L62-O62,0)</x:f>
        <x:v>0</x:v>
      </x:c>
      <x:c r="Q62" s="14"/>
      <x:c r="R62" s="8"/>
      <x:c r="S62" s="8"/>
      <x:c r="T62" s="14"/>
      <x:c r="U62" s="8"/>
    </x:row>
    <x:row r="63">
      <x:c r="A63" s="8" t="str">
        <x:f>IF(B63="","","WB-"&amp;TEXT(ROW()-1,"000"))</x:f>
      </x:c>
      <x:c r="B63" s="8"/>
      <x:c r="C63" s="8"/>
      <x:c r="D63" s="10"/>
      <x:c r="E63" s="8"/>
      <x:c r="F63" s="8"/>
      <x:c r="G63" s="8"/>
      <x:c r="H63" s="8"/>
      <x:c r="I63" s="8"/>
      <x:c r="J63" s="10"/>
      <x:c r="K63" s="10"/>
      <x:c r="L63" s="10" t="n">
        <x:f>IF(OR(D63="",K63=""),0,MAX(0,D63-K63))</x:f>
        <x:v>0</x:v>
      </x:c>
      <x:c r="M63" s="8"/>
      <x:c r="N63" s="12" t="n">
        <x:f>Rules!$F$2</x:f>
        <x:v>0.2</x:v>
      </x:c>
      <x:c r="O63" s="10" t="n">
        <x:f>IF(M63="Verified",L63*N63,0)</x:f>
        <x:v>0</x:v>
      </x:c>
      <x:c r="P63" s="10" t="n">
        <x:f>IF(M63="Verified",L63-O63,0)</x:f>
        <x:v>0</x:v>
      </x:c>
      <x:c r="Q63" s="14"/>
      <x:c r="R63" s="8"/>
      <x:c r="S63" s="8"/>
      <x:c r="T63" s="14"/>
      <x:c r="U63" s="8"/>
    </x:row>
    <x:row r="64">
      <x:c r="A64" s="8" t="str">
        <x:f>IF(B64="","","WB-"&amp;TEXT(ROW()-1,"000"))</x:f>
      </x:c>
      <x:c r="B64" s="8"/>
      <x:c r="C64" s="8"/>
      <x:c r="D64" s="10"/>
      <x:c r="E64" s="8"/>
      <x:c r="F64" s="8"/>
      <x:c r="G64" s="8"/>
      <x:c r="H64" s="8"/>
      <x:c r="I64" s="8"/>
      <x:c r="J64" s="10"/>
      <x:c r="K64" s="10"/>
      <x:c r="L64" s="10" t="n">
        <x:f>IF(OR(D64="",K64=""),0,MAX(0,D64-K64))</x:f>
        <x:v>0</x:v>
      </x:c>
      <x:c r="M64" s="8"/>
      <x:c r="N64" s="12" t="n">
        <x:f>Rules!$F$2</x:f>
        <x:v>0.2</x:v>
      </x:c>
      <x:c r="O64" s="10" t="n">
        <x:f>IF(M64="Verified",L64*N64,0)</x:f>
        <x:v>0</x:v>
      </x:c>
      <x:c r="P64" s="10" t="n">
        <x:f>IF(M64="Verified",L64-O64,0)</x:f>
        <x:v>0</x:v>
      </x:c>
      <x:c r="Q64" s="14"/>
      <x:c r="R64" s="8"/>
      <x:c r="S64" s="8"/>
      <x:c r="T64" s="14"/>
      <x:c r="U64" s="8"/>
    </x:row>
    <x:row r="65">
      <x:c r="A65" s="8" t="str">
        <x:f>IF(B65="","","WB-"&amp;TEXT(ROW()-1,"000"))</x:f>
      </x:c>
      <x:c r="B65" s="8"/>
      <x:c r="C65" s="8"/>
      <x:c r="D65" s="10"/>
      <x:c r="E65" s="8"/>
      <x:c r="F65" s="8"/>
      <x:c r="G65" s="8"/>
      <x:c r="H65" s="8"/>
      <x:c r="I65" s="8"/>
      <x:c r="J65" s="10"/>
      <x:c r="K65" s="10"/>
      <x:c r="L65" s="10" t="n">
        <x:f>IF(OR(D65="",K65=""),0,MAX(0,D65-K65))</x:f>
        <x:v>0</x:v>
      </x:c>
      <x:c r="M65" s="8"/>
      <x:c r="N65" s="12" t="n">
        <x:f>Rules!$F$2</x:f>
        <x:v>0.2</x:v>
      </x:c>
      <x:c r="O65" s="10" t="n">
        <x:f>IF(M65="Verified",L65*N65,0)</x:f>
        <x:v>0</x:v>
      </x:c>
      <x:c r="P65" s="10" t="n">
        <x:f>IF(M65="Verified",L65-O65,0)</x:f>
        <x:v>0</x:v>
      </x:c>
      <x:c r="Q65" s="14"/>
      <x:c r="R65" s="8"/>
      <x:c r="S65" s="8"/>
      <x:c r="T65" s="14"/>
      <x:c r="U65" s="8"/>
    </x:row>
    <x:row r="66">
      <x:c r="A66" s="8" t="str">
        <x:f>IF(B66="","","WB-"&amp;TEXT(ROW()-1,"000"))</x:f>
      </x:c>
      <x:c r="B66" s="8"/>
      <x:c r="C66" s="8"/>
      <x:c r="D66" s="10"/>
      <x:c r="E66" s="8"/>
      <x:c r="F66" s="8"/>
      <x:c r="G66" s="8"/>
      <x:c r="H66" s="8"/>
      <x:c r="I66" s="8"/>
      <x:c r="J66" s="10"/>
      <x:c r="K66" s="10"/>
      <x:c r="L66" s="10" t="n">
        <x:f>IF(OR(D66="",K66=""),0,MAX(0,D66-K66))</x:f>
        <x:v>0</x:v>
      </x:c>
      <x:c r="M66" s="8"/>
      <x:c r="N66" s="12" t="n">
        <x:f>Rules!$F$2</x:f>
        <x:v>0.2</x:v>
      </x:c>
      <x:c r="O66" s="10" t="n">
        <x:f>IF(M66="Verified",L66*N66,0)</x:f>
        <x:v>0</x:v>
      </x:c>
      <x:c r="P66" s="10" t="n">
        <x:f>IF(M66="Verified",L66-O66,0)</x:f>
        <x:v>0</x:v>
      </x:c>
      <x:c r="Q66" s="14"/>
      <x:c r="R66" s="8"/>
      <x:c r="S66" s="8"/>
      <x:c r="T66" s="14"/>
      <x:c r="U66" s="8"/>
    </x:row>
    <x:row r="67">
      <x:c r="A67" s="8" t="str">
        <x:f>IF(B67="","","WB-"&amp;TEXT(ROW()-1,"000"))</x:f>
      </x:c>
      <x:c r="B67" s="8"/>
      <x:c r="C67" s="8"/>
      <x:c r="D67" s="10"/>
      <x:c r="E67" s="8"/>
      <x:c r="F67" s="8"/>
      <x:c r="G67" s="8"/>
      <x:c r="H67" s="8"/>
      <x:c r="I67" s="8"/>
      <x:c r="J67" s="10"/>
      <x:c r="K67" s="10"/>
      <x:c r="L67" s="10" t="n">
        <x:f>IF(OR(D67="",K67=""),0,MAX(0,D67-K67))</x:f>
        <x:v>0</x:v>
      </x:c>
      <x:c r="M67" s="8"/>
      <x:c r="N67" s="12" t="n">
        <x:f>Rules!$F$2</x:f>
        <x:v>0.2</x:v>
      </x:c>
      <x:c r="O67" s="10" t="n">
        <x:f>IF(M67="Verified",L67*N67,0)</x:f>
        <x:v>0</x:v>
      </x:c>
      <x:c r="P67" s="10" t="n">
        <x:f>IF(M67="Verified",L67-O67,0)</x:f>
        <x:v>0</x:v>
      </x:c>
      <x:c r="Q67" s="14"/>
      <x:c r="R67" s="8"/>
      <x:c r="S67" s="8"/>
      <x:c r="T67" s="14"/>
      <x:c r="U67" s="8"/>
    </x:row>
    <x:row r="68">
      <x:c r="A68" s="8" t="str">
        <x:f>IF(B68="","","WB-"&amp;TEXT(ROW()-1,"000"))</x:f>
      </x:c>
      <x:c r="B68" s="8"/>
      <x:c r="C68" s="8"/>
      <x:c r="D68" s="10"/>
      <x:c r="E68" s="8"/>
      <x:c r="F68" s="8"/>
      <x:c r="G68" s="8"/>
      <x:c r="H68" s="8"/>
      <x:c r="I68" s="8"/>
      <x:c r="J68" s="10"/>
      <x:c r="K68" s="10"/>
      <x:c r="L68" s="10" t="n">
        <x:f>IF(OR(D68="",K68=""),0,MAX(0,D68-K68))</x:f>
        <x:v>0</x:v>
      </x:c>
      <x:c r="M68" s="8"/>
      <x:c r="N68" s="12" t="n">
        <x:f>Rules!$F$2</x:f>
        <x:v>0.2</x:v>
      </x:c>
      <x:c r="O68" s="10" t="n">
        <x:f>IF(M68="Verified",L68*N68,0)</x:f>
        <x:v>0</x:v>
      </x:c>
      <x:c r="P68" s="10" t="n">
        <x:f>IF(M68="Verified",L68-O68,0)</x:f>
        <x:v>0</x:v>
      </x:c>
      <x:c r="Q68" s="14"/>
      <x:c r="R68" s="8"/>
      <x:c r="S68" s="8"/>
      <x:c r="T68" s="14"/>
      <x:c r="U68" s="8"/>
    </x:row>
    <x:row r="69">
      <x:c r="A69" s="8" t="str">
        <x:f>IF(B69="","","WB-"&amp;TEXT(ROW()-1,"000"))</x:f>
      </x:c>
      <x:c r="B69" s="8"/>
      <x:c r="C69" s="8"/>
      <x:c r="D69" s="10"/>
      <x:c r="E69" s="8"/>
      <x:c r="F69" s="8"/>
      <x:c r="G69" s="8"/>
      <x:c r="H69" s="8"/>
      <x:c r="I69" s="8"/>
      <x:c r="J69" s="10"/>
      <x:c r="K69" s="10"/>
      <x:c r="L69" s="10" t="n">
        <x:f>IF(OR(D69="",K69=""),0,MAX(0,D69-K69))</x:f>
        <x:v>0</x:v>
      </x:c>
      <x:c r="M69" s="8"/>
      <x:c r="N69" s="12" t="n">
        <x:f>Rules!$F$2</x:f>
        <x:v>0.2</x:v>
      </x:c>
      <x:c r="O69" s="10" t="n">
        <x:f>IF(M69="Verified",L69*N69,0)</x:f>
        <x:v>0</x:v>
      </x:c>
      <x:c r="P69" s="10" t="n">
        <x:f>IF(M69="Verified",L69-O69,0)</x:f>
        <x:v>0</x:v>
      </x:c>
      <x:c r="Q69" s="14"/>
      <x:c r="R69" s="8"/>
      <x:c r="S69" s="8"/>
      <x:c r="T69" s="14"/>
      <x:c r="U69" s="8"/>
    </x:row>
    <x:row r="70">
      <x:c r="A70" s="8" t="str">
        <x:f>IF(B70="","","WB-"&amp;TEXT(ROW()-1,"000"))</x:f>
      </x:c>
      <x:c r="B70" s="8"/>
      <x:c r="C70" s="8"/>
      <x:c r="D70" s="10"/>
      <x:c r="E70" s="8"/>
      <x:c r="F70" s="8"/>
      <x:c r="G70" s="8"/>
      <x:c r="H70" s="8"/>
      <x:c r="I70" s="8"/>
      <x:c r="J70" s="10"/>
      <x:c r="K70" s="10"/>
      <x:c r="L70" s="10" t="n">
        <x:f>IF(OR(D70="",K70=""),0,MAX(0,D70-K70))</x:f>
        <x:v>0</x:v>
      </x:c>
      <x:c r="M70" s="8"/>
      <x:c r="N70" s="12" t="n">
        <x:f>Rules!$F$2</x:f>
        <x:v>0.2</x:v>
      </x:c>
      <x:c r="O70" s="10" t="n">
        <x:f>IF(M70="Verified",L70*N70,0)</x:f>
        <x:v>0</x:v>
      </x:c>
      <x:c r="P70" s="10" t="n">
        <x:f>IF(M70="Verified",L70-O70,0)</x:f>
        <x:v>0</x:v>
      </x:c>
      <x:c r="Q70" s="14"/>
      <x:c r="R70" s="8"/>
      <x:c r="S70" s="8"/>
      <x:c r="T70" s="14"/>
      <x:c r="U70" s="8"/>
    </x:row>
    <x:row r="71">
      <x:c r="A71" s="8" t="str">
        <x:f>IF(B71="","","WB-"&amp;TEXT(ROW()-1,"000"))</x:f>
      </x:c>
      <x:c r="B71" s="8"/>
      <x:c r="C71" s="8"/>
      <x:c r="D71" s="10"/>
      <x:c r="E71" s="8"/>
      <x:c r="F71" s="8"/>
      <x:c r="G71" s="8"/>
      <x:c r="H71" s="8"/>
      <x:c r="I71" s="8"/>
      <x:c r="J71" s="10"/>
      <x:c r="K71" s="10"/>
      <x:c r="L71" s="10" t="n">
        <x:f>IF(OR(D71="",K71=""),0,MAX(0,D71-K71))</x:f>
        <x:v>0</x:v>
      </x:c>
      <x:c r="M71" s="8"/>
      <x:c r="N71" s="12" t="n">
        <x:f>Rules!$F$2</x:f>
        <x:v>0.2</x:v>
      </x:c>
      <x:c r="O71" s="10" t="n">
        <x:f>IF(M71="Verified",L71*N71,0)</x:f>
        <x:v>0</x:v>
      </x:c>
      <x:c r="P71" s="10" t="n">
        <x:f>IF(M71="Verified",L71-O71,0)</x:f>
        <x:v>0</x:v>
      </x:c>
      <x:c r="Q71" s="14"/>
      <x:c r="R71" s="8"/>
      <x:c r="S71" s="8"/>
      <x:c r="T71" s="14"/>
      <x:c r="U71" s="8"/>
    </x:row>
    <x:row r="72">
      <x:c r="A72" s="8" t="str">
        <x:f>IF(B72="","","WB-"&amp;TEXT(ROW()-1,"000"))</x:f>
      </x:c>
      <x:c r="B72" s="8"/>
      <x:c r="C72" s="8"/>
      <x:c r="D72" s="10"/>
      <x:c r="E72" s="8"/>
      <x:c r="F72" s="8"/>
      <x:c r="G72" s="8"/>
      <x:c r="H72" s="8"/>
      <x:c r="I72" s="8"/>
      <x:c r="J72" s="10"/>
      <x:c r="K72" s="10"/>
      <x:c r="L72" s="10" t="n">
        <x:f>IF(OR(D72="",K72=""),0,MAX(0,D72-K72))</x:f>
        <x:v>0</x:v>
      </x:c>
      <x:c r="M72" s="8"/>
      <x:c r="N72" s="12" t="n">
        <x:f>Rules!$F$2</x:f>
        <x:v>0.2</x:v>
      </x:c>
      <x:c r="O72" s="10" t="n">
        <x:f>IF(M72="Verified",L72*N72,0)</x:f>
        <x:v>0</x:v>
      </x:c>
      <x:c r="P72" s="10" t="n">
        <x:f>IF(M72="Verified",L72-O72,0)</x:f>
        <x:v>0</x:v>
      </x:c>
      <x:c r="Q72" s="14"/>
      <x:c r="R72" s="8"/>
      <x:c r="S72" s="8"/>
      <x:c r="T72" s="14"/>
      <x:c r="U72" s="8"/>
    </x:row>
    <x:row r="73">
      <x:c r="A73" s="8" t="str">
        <x:f>IF(B73="","","WB-"&amp;TEXT(ROW()-1,"000"))</x:f>
      </x:c>
      <x:c r="B73" s="8"/>
      <x:c r="C73" s="8"/>
      <x:c r="D73" s="10"/>
      <x:c r="E73" s="8"/>
      <x:c r="F73" s="8"/>
      <x:c r="G73" s="8"/>
      <x:c r="H73" s="8"/>
      <x:c r="I73" s="8"/>
      <x:c r="J73" s="10"/>
      <x:c r="K73" s="10"/>
      <x:c r="L73" s="10" t="n">
        <x:f>IF(OR(D73="",K73=""),0,MAX(0,D73-K73))</x:f>
        <x:v>0</x:v>
      </x:c>
      <x:c r="M73" s="8"/>
      <x:c r="N73" s="12" t="n">
        <x:f>Rules!$F$2</x:f>
        <x:v>0.2</x:v>
      </x:c>
      <x:c r="O73" s="10" t="n">
        <x:f>IF(M73="Verified",L73*N73,0)</x:f>
        <x:v>0</x:v>
      </x:c>
      <x:c r="P73" s="10" t="n">
        <x:f>IF(M73="Verified",L73-O73,0)</x:f>
        <x:v>0</x:v>
      </x:c>
      <x:c r="Q73" s="14"/>
      <x:c r="R73" s="8"/>
      <x:c r="S73" s="8"/>
      <x:c r="T73" s="14"/>
      <x:c r="U73" s="8"/>
    </x:row>
    <x:row r="74">
      <x:c r="A74" s="8" t="str">
        <x:f>IF(B74="","","WB-"&amp;TEXT(ROW()-1,"000"))</x:f>
      </x:c>
      <x:c r="B74" s="8"/>
      <x:c r="C74" s="8"/>
      <x:c r="D74" s="10"/>
      <x:c r="E74" s="8"/>
      <x:c r="F74" s="8"/>
      <x:c r="G74" s="8"/>
      <x:c r="H74" s="8"/>
      <x:c r="I74" s="8"/>
      <x:c r="J74" s="10"/>
      <x:c r="K74" s="10"/>
      <x:c r="L74" s="10" t="n">
        <x:f>IF(OR(D74="",K74=""),0,MAX(0,D74-K74))</x:f>
        <x:v>0</x:v>
      </x:c>
      <x:c r="M74" s="8"/>
      <x:c r="N74" s="12" t="n">
        <x:f>Rules!$F$2</x:f>
        <x:v>0.2</x:v>
      </x:c>
      <x:c r="O74" s="10" t="n">
        <x:f>IF(M74="Verified",L74*N74,0)</x:f>
        <x:v>0</x:v>
      </x:c>
      <x:c r="P74" s="10" t="n">
        <x:f>IF(M74="Verified",L74-O74,0)</x:f>
        <x:v>0</x:v>
      </x:c>
      <x:c r="Q74" s="14"/>
      <x:c r="R74" s="8"/>
      <x:c r="S74" s="8"/>
      <x:c r="T74" s="14"/>
      <x:c r="U74" s="8"/>
    </x:row>
    <x:row r="75">
      <x:c r="A75" s="8" t="str">
        <x:f>IF(B75="","","WB-"&amp;TEXT(ROW()-1,"000"))</x:f>
      </x:c>
      <x:c r="B75" s="8"/>
      <x:c r="C75" s="8"/>
      <x:c r="D75" s="10"/>
      <x:c r="E75" s="8"/>
      <x:c r="F75" s="8"/>
      <x:c r="G75" s="8"/>
      <x:c r="H75" s="8"/>
      <x:c r="I75" s="8"/>
      <x:c r="J75" s="10"/>
      <x:c r="K75" s="10"/>
      <x:c r="L75" s="10" t="n">
        <x:f>IF(OR(D75="",K75=""),0,MAX(0,D75-K75))</x:f>
        <x:v>0</x:v>
      </x:c>
      <x:c r="M75" s="8"/>
      <x:c r="N75" s="12" t="n">
        <x:f>Rules!$F$2</x:f>
        <x:v>0.2</x:v>
      </x:c>
      <x:c r="O75" s="10" t="n">
        <x:f>IF(M75="Verified",L75*N75,0)</x:f>
        <x:v>0</x:v>
      </x:c>
      <x:c r="P75" s="10" t="n">
        <x:f>IF(M75="Verified",L75-O75,0)</x:f>
        <x:v>0</x:v>
      </x:c>
      <x:c r="Q75" s="14"/>
      <x:c r="R75" s="8"/>
      <x:c r="S75" s="8"/>
      <x:c r="T75" s="14"/>
      <x:c r="U75" s="8"/>
    </x:row>
    <x:row r="76">
      <x:c r="A76" s="8" t="str">
        <x:f>IF(B76="","","WB-"&amp;TEXT(ROW()-1,"000"))</x:f>
      </x:c>
      <x:c r="B76" s="8"/>
      <x:c r="C76" s="8"/>
      <x:c r="D76" s="10"/>
      <x:c r="E76" s="8"/>
      <x:c r="F76" s="8"/>
      <x:c r="G76" s="8"/>
      <x:c r="H76" s="8"/>
      <x:c r="I76" s="8"/>
      <x:c r="J76" s="10"/>
      <x:c r="K76" s="10"/>
      <x:c r="L76" s="10" t="n">
        <x:f>IF(OR(D76="",K76=""),0,MAX(0,D76-K76))</x:f>
        <x:v>0</x:v>
      </x:c>
      <x:c r="M76" s="8"/>
      <x:c r="N76" s="12" t="n">
        <x:f>Rules!$F$2</x:f>
        <x:v>0.2</x:v>
      </x:c>
      <x:c r="O76" s="10" t="n">
        <x:f>IF(M76="Verified",L76*N76,0)</x:f>
        <x:v>0</x:v>
      </x:c>
      <x:c r="P76" s="10" t="n">
        <x:f>IF(M76="Verified",L76-O76,0)</x:f>
        <x:v>0</x:v>
      </x:c>
      <x:c r="Q76" s="14"/>
      <x:c r="R76" s="8"/>
      <x:c r="S76" s="8"/>
      <x:c r="T76" s="14"/>
      <x:c r="U76" s="8"/>
    </x:row>
    <x:row r="77">
      <x:c r="A77" s="8" t="str">
        <x:f>IF(B77="","","WB-"&amp;TEXT(ROW()-1,"000"))</x:f>
      </x:c>
      <x:c r="B77" s="8"/>
      <x:c r="C77" s="8"/>
      <x:c r="D77" s="10"/>
      <x:c r="E77" s="8"/>
      <x:c r="F77" s="8"/>
      <x:c r="G77" s="8"/>
      <x:c r="H77" s="8"/>
      <x:c r="I77" s="8"/>
      <x:c r="J77" s="10"/>
      <x:c r="K77" s="10"/>
      <x:c r="L77" s="10" t="n">
        <x:f>IF(OR(D77="",K77=""),0,MAX(0,D77-K77))</x:f>
        <x:v>0</x:v>
      </x:c>
      <x:c r="M77" s="8"/>
      <x:c r="N77" s="12" t="n">
        <x:f>Rules!$F$2</x:f>
        <x:v>0.2</x:v>
      </x:c>
      <x:c r="O77" s="10" t="n">
        <x:f>IF(M77="Verified",L77*N77,0)</x:f>
        <x:v>0</x:v>
      </x:c>
      <x:c r="P77" s="10" t="n">
        <x:f>IF(M77="Verified",L77-O77,0)</x:f>
        <x:v>0</x:v>
      </x:c>
      <x:c r="Q77" s="14"/>
      <x:c r="R77" s="8"/>
      <x:c r="S77" s="8"/>
      <x:c r="T77" s="14"/>
      <x:c r="U77" s="8"/>
    </x:row>
    <x:row r="78">
      <x:c r="A78" s="8" t="str">
        <x:f>IF(B78="","","WB-"&amp;TEXT(ROW()-1,"000"))</x:f>
      </x:c>
      <x:c r="B78" s="8"/>
      <x:c r="C78" s="8"/>
      <x:c r="D78" s="10"/>
      <x:c r="E78" s="8"/>
      <x:c r="F78" s="8"/>
      <x:c r="G78" s="8"/>
      <x:c r="H78" s="8"/>
      <x:c r="I78" s="8"/>
      <x:c r="J78" s="10"/>
      <x:c r="K78" s="10"/>
      <x:c r="L78" s="10" t="n">
        <x:f>IF(OR(D78="",K78=""),0,MAX(0,D78-K78))</x:f>
        <x:v>0</x:v>
      </x:c>
      <x:c r="M78" s="8"/>
      <x:c r="N78" s="12" t="n">
        <x:f>Rules!$F$2</x:f>
        <x:v>0.2</x:v>
      </x:c>
      <x:c r="O78" s="10" t="n">
        <x:f>IF(M78="Verified",L78*N78,0)</x:f>
        <x:v>0</x:v>
      </x:c>
      <x:c r="P78" s="10" t="n">
        <x:f>IF(M78="Verified",L78-O78,0)</x:f>
        <x:v>0</x:v>
      </x:c>
      <x:c r="Q78" s="14"/>
      <x:c r="R78" s="8"/>
      <x:c r="S78" s="8"/>
      <x:c r="T78" s="14"/>
      <x:c r="U78" s="8"/>
    </x:row>
    <x:row r="79">
      <x:c r="A79" s="8" t="str">
        <x:f>IF(B79="","","WB-"&amp;TEXT(ROW()-1,"000"))</x:f>
      </x:c>
      <x:c r="B79" s="8"/>
      <x:c r="C79" s="8"/>
      <x:c r="D79" s="10"/>
      <x:c r="E79" s="8"/>
      <x:c r="F79" s="8"/>
      <x:c r="G79" s="8"/>
      <x:c r="H79" s="8"/>
      <x:c r="I79" s="8"/>
      <x:c r="J79" s="10"/>
      <x:c r="K79" s="10"/>
      <x:c r="L79" s="10" t="n">
        <x:f>IF(OR(D79="",K79=""),0,MAX(0,D79-K79))</x:f>
        <x:v>0</x:v>
      </x:c>
      <x:c r="M79" s="8"/>
      <x:c r="N79" s="12" t="n">
        <x:f>Rules!$F$2</x:f>
        <x:v>0.2</x:v>
      </x:c>
      <x:c r="O79" s="10" t="n">
        <x:f>IF(M79="Verified",L79*N79,0)</x:f>
        <x:v>0</x:v>
      </x:c>
      <x:c r="P79" s="10" t="n">
        <x:f>IF(M79="Verified",L79-O79,0)</x:f>
        <x:v>0</x:v>
      </x:c>
      <x:c r="Q79" s="14"/>
      <x:c r="R79" s="8"/>
      <x:c r="S79" s="8"/>
      <x:c r="T79" s="14"/>
      <x:c r="U79" s="8"/>
    </x:row>
    <x:row r="80">
      <x:c r="A80" s="8" t="str">
        <x:f>IF(B80="","","WB-"&amp;TEXT(ROW()-1,"000"))</x:f>
      </x:c>
      <x:c r="B80" s="8"/>
      <x:c r="C80" s="8"/>
      <x:c r="D80" s="10"/>
      <x:c r="E80" s="8"/>
      <x:c r="F80" s="8"/>
      <x:c r="G80" s="8"/>
      <x:c r="H80" s="8"/>
      <x:c r="I80" s="8"/>
      <x:c r="J80" s="10"/>
      <x:c r="K80" s="10"/>
      <x:c r="L80" s="10" t="n">
        <x:f>IF(OR(D80="",K80=""),0,MAX(0,D80-K80))</x:f>
        <x:v>0</x:v>
      </x:c>
      <x:c r="M80" s="8"/>
      <x:c r="N80" s="12" t="n">
        <x:f>Rules!$F$2</x:f>
        <x:v>0.2</x:v>
      </x:c>
      <x:c r="O80" s="10" t="n">
        <x:f>IF(M80="Verified",L80*N80,0)</x:f>
        <x:v>0</x:v>
      </x:c>
      <x:c r="P80" s="10" t="n">
        <x:f>IF(M80="Verified",L80-O80,0)</x:f>
        <x:v>0</x:v>
      </x:c>
      <x:c r="Q80" s="14"/>
      <x:c r="R80" s="8"/>
      <x:c r="S80" s="8"/>
      <x:c r="T80" s="14"/>
      <x:c r="U80" s="8"/>
    </x:row>
    <x:row r="81">
      <x:c r="A81" s="8" t="str">
        <x:f>IF(B81="","","WB-"&amp;TEXT(ROW()-1,"000"))</x:f>
      </x:c>
      <x:c r="B81" s="8"/>
      <x:c r="C81" s="8"/>
      <x:c r="D81" s="10"/>
      <x:c r="E81" s="8"/>
      <x:c r="F81" s="8"/>
      <x:c r="G81" s="8"/>
      <x:c r="H81" s="8"/>
      <x:c r="I81" s="8"/>
      <x:c r="J81" s="10"/>
      <x:c r="K81" s="10"/>
      <x:c r="L81" s="10" t="n">
        <x:f>IF(OR(D81="",K81=""),0,MAX(0,D81-K81))</x:f>
        <x:v>0</x:v>
      </x:c>
      <x:c r="M81" s="8"/>
      <x:c r="N81" s="12" t="n">
        <x:f>Rules!$F$2</x:f>
        <x:v>0.2</x:v>
      </x:c>
      <x:c r="O81" s="10" t="n">
        <x:f>IF(M81="Verified",L81*N81,0)</x:f>
        <x:v>0</x:v>
      </x:c>
      <x:c r="P81" s="10" t="n">
        <x:f>IF(M81="Verified",L81-O81,0)</x:f>
        <x:v>0</x:v>
      </x:c>
      <x:c r="Q81" s="14"/>
      <x:c r="R81" s="8"/>
      <x:c r="S81" s="8"/>
      <x:c r="T81" s="14"/>
      <x:c r="U81" s="8"/>
    </x:row>
    <x:row r="82">
      <x:c r="A82" s="8" t="str">
        <x:f>IF(B82="","","WB-"&amp;TEXT(ROW()-1,"000"))</x:f>
      </x:c>
      <x:c r="B82" s="8"/>
      <x:c r="C82" s="8"/>
      <x:c r="D82" s="10"/>
      <x:c r="E82" s="8"/>
      <x:c r="F82" s="8"/>
      <x:c r="G82" s="8"/>
      <x:c r="H82" s="8"/>
      <x:c r="I82" s="8"/>
      <x:c r="J82" s="10"/>
      <x:c r="K82" s="10"/>
      <x:c r="L82" s="10" t="n">
        <x:f>IF(OR(D82="",K82=""),0,MAX(0,D82-K82))</x:f>
        <x:v>0</x:v>
      </x:c>
      <x:c r="M82" s="8"/>
      <x:c r="N82" s="12" t="n">
        <x:f>Rules!$F$2</x:f>
        <x:v>0.2</x:v>
      </x:c>
      <x:c r="O82" s="10" t="n">
        <x:f>IF(M82="Verified",L82*N82,0)</x:f>
        <x:v>0</x:v>
      </x:c>
      <x:c r="P82" s="10" t="n">
        <x:f>IF(M82="Verified",L82-O82,0)</x:f>
        <x:v>0</x:v>
      </x:c>
      <x:c r="Q82" s="14"/>
      <x:c r="R82" s="8"/>
      <x:c r="S82" s="8"/>
      <x:c r="T82" s="14"/>
      <x:c r="U82" s="8"/>
    </x:row>
    <x:row r="83">
      <x:c r="A83" s="8" t="str">
        <x:f>IF(B83="","","WB-"&amp;TEXT(ROW()-1,"000"))</x:f>
      </x:c>
      <x:c r="B83" s="8"/>
      <x:c r="C83" s="8"/>
      <x:c r="D83" s="10"/>
      <x:c r="E83" s="8"/>
      <x:c r="F83" s="8"/>
      <x:c r="G83" s="8"/>
      <x:c r="H83" s="8"/>
      <x:c r="I83" s="8"/>
      <x:c r="J83" s="10"/>
      <x:c r="K83" s="10"/>
      <x:c r="L83" s="10" t="n">
        <x:f>IF(OR(D83="",K83=""),0,MAX(0,D83-K83))</x:f>
        <x:v>0</x:v>
      </x:c>
      <x:c r="M83" s="8"/>
      <x:c r="N83" s="12" t="n">
        <x:f>Rules!$F$2</x:f>
        <x:v>0.2</x:v>
      </x:c>
      <x:c r="O83" s="10" t="n">
        <x:f>IF(M83="Verified",L83*N83,0)</x:f>
        <x:v>0</x:v>
      </x:c>
      <x:c r="P83" s="10" t="n">
        <x:f>IF(M83="Verified",L83-O83,0)</x:f>
        <x:v>0</x:v>
      </x:c>
      <x:c r="Q83" s="14"/>
      <x:c r="R83" s="8"/>
      <x:c r="S83" s="8"/>
      <x:c r="T83" s="14"/>
      <x:c r="U83" s="8"/>
    </x:row>
    <x:row r="84">
      <x:c r="A84" s="8" t="str">
        <x:f>IF(B84="","","WB-"&amp;TEXT(ROW()-1,"000"))</x:f>
      </x:c>
      <x:c r="B84" s="8"/>
      <x:c r="C84" s="8"/>
      <x:c r="D84" s="10"/>
      <x:c r="E84" s="8"/>
      <x:c r="F84" s="8"/>
      <x:c r="G84" s="8"/>
      <x:c r="H84" s="8"/>
      <x:c r="I84" s="8"/>
      <x:c r="J84" s="10"/>
      <x:c r="K84" s="10"/>
      <x:c r="L84" s="10" t="n">
        <x:f>IF(OR(D84="",K84=""),0,MAX(0,D84-K84))</x:f>
        <x:v>0</x:v>
      </x:c>
      <x:c r="M84" s="8"/>
      <x:c r="N84" s="12" t="n">
        <x:f>Rules!$F$2</x:f>
        <x:v>0.2</x:v>
      </x:c>
      <x:c r="O84" s="10" t="n">
        <x:f>IF(M84="Verified",L84*N84,0)</x:f>
        <x:v>0</x:v>
      </x:c>
      <x:c r="P84" s="10" t="n">
        <x:f>IF(M84="Verified",L84-O84,0)</x:f>
        <x:v>0</x:v>
      </x:c>
      <x:c r="Q84" s="14"/>
      <x:c r="R84" s="8"/>
      <x:c r="S84" s="8"/>
      <x:c r="T84" s="14"/>
      <x:c r="U84" s="8"/>
    </x:row>
    <x:row r="85">
      <x:c r="A85" s="8" t="str">
        <x:f>IF(B85="","","WB-"&amp;TEXT(ROW()-1,"000"))</x:f>
      </x:c>
      <x:c r="B85" s="8"/>
      <x:c r="C85" s="8"/>
      <x:c r="D85" s="10"/>
      <x:c r="E85" s="8"/>
      <x:c r="F85" s="8"/>
      <x:c r="G85" s="8"/>
      <x:c r="H85" s="8"/>
      <x:c r="I85" s="8"/>
      <x:c r="J85" s="10"/>
      <x:c r="K85" s="10"/>
      <x:c r="L85" s="10" t="n">
        <x:f>IF(OR(D85="",K85=""),0,MAX(0,D85-K85))</x:f>
        <x:v>0</x:v>
      </x:c>
      <x:c r="M85" s="8"/>
      <x:c r="N85" s="12" t="n">
        <x:f>Rules!$F$2</x:f>
        <x:v>0.2</x:v>
      </x:c>
      <x:c r="O85" s="10" t="n">
        <x:f>IF(M85="Verified",L85*N85,0)</x:f>
        <x:v>0</x:v>
      </x:c>
      <x:c r="P85" s="10" t="n">
        <x:f>IF(M85="Verified",L85-O85,0)</x:f>
        <x:v>0</x:v>
      </x:c>
      <x:c r="Q85" s="14"/>
      <x:c r="R85" s="8"/>
      <x:c r="S85" s="8"/>
      <x:c r="T85" s="14"/>
      <x:c r="U85" s="8"/>
    </x:row>
    <x:row r="86">
      <x:c r="A86" s="8" t="str">
        <x:f>IF(B86="","","WB-"&amp;TEXT(ROW()-1,"000"))</x:f>
      </x:c>
      <x:c r="B86" s="8"/>
      <x:c r="C86" s="8"/>
      <x:c r="D86" s="10"/>
      <x:c r="E86" s="8"/>
      <x:c r="F86" s="8"/>
      <x:c r="G86" s="8"/>
      <x:c r="H86" s="8"/>
      <x:c r="I86" s="8"/>
      <x:c r="J86" s="10"/>
      <x:c r="K86" s="10"/>
      <x:c r="L86" s="10" t="n">
        <x:f>IF(OR(D86="",K86=""),0,MAX(0,D86-K86))</x:f>
        <x:v>0</x:v>
      </x:c>
      <x:c r="M86" s="8"/>
      <x:c r="N86" s="12" t="n">
        <x:f>Rules!$F$2</x:f>
        <x:v>0.2</x:v>
      </x:c>
      <x:c r="O86" s="10" t="n">
        <x:f>IF(M86="Verified",L86*N86,0)</x:f>
        <x:v>0</x:v>
      </x:c>
      <x:c r="P86" s="10" t="n">
        <x:f>IF(M86="Verified",L86-O86,0)</x:f>
        <x:v>0</x:v>
      </x:c>
      <x:c r="Q86" s="14"/>
      <x:c r="R86" s="8"/>
      <x:c r="S86" s="8"/>
      <x:c r="T86" s="14"/>
      <x:c r="U86" s="8"/>
    </x:row>
    <x:row r="87">
      <x:c r="A87" s="8" t="str">
        <x:f>IF(B87="","","WB-"&amp;TEXT(ROW()-1,"000"))</x:f>
      </x:c>
      <x:c r="B87" s="8"/>
      <x:c r="C87" s="8"/>
      <x:c r="D87" s="10"/>
      <x:c r="E87" s="8"/>
      <x:c r="F87" s="8"/>
      <x:c r="G87" s="8"/>
      <x:c r="H87" s="8"/>
      <x:c r="I87" s="8"/>
      <x:c r="J87" s="10"/>
      <x:c r="K87" s="10"/>
      <x:c r="L87" s="10" t="n">
        <x:f>IF(OR(D87="",K87=""),0,MAX(0,D87-K87))</x:f>
        <x:v>0</x:v>
      </x:c>
      <x:c r="M87" s="8"/>
      <x:c r="N87" s="12" t="n">
        <x:f>Rules!$F$2</x:f>
        <x:v>0.2</x:v>
      </x:c>
      <x:c r="O87" s="10" t="n">
        <x:f>IF(M87="Verified",L87*N87,0)</x:f>
        <x:v>0</x:v>
      </x:c>
      <x:c r="P87" s="10" t="n">
        <x:f>IF(M87="Verified",L87-O87,0)</x:f>
        <x:v>0</x:v>
      </x:c>
      <x:c r="Q87" s="14"/>
      <x:c r="R87" s="8"/>
      <x:c r="S87" s="8"/>
      <x:c r="T87" s="14"/>
      <x:c r="U87" s="8"/>
    </x:row>
    <x:row r="88">
      <x:c r="A88" s="8" t="str">
        <x:f>IF(B88="","","WB-"&amp;TEXT(ROW()-1,"000"))</x:f>
      </x:c>
      <x:c r="B88" s="8"/>
      <x:c r="C88" s="8"/>
      <x:c r="D88" s="10"/>
      <x:c r="E88" s="8"/>
      <x:c r="F88" s="8"/>
      <x:c r="G88" s="8"/>
      <x:c r="H88" s="8"/>
      <x:c r="I88" s="8"/>
      <x:c r="J88" s="10"/>
      <x:c r="K88" s="10"/>
      <x:c r="L88" s="10" t="n">
        <x:f>IF(OR(D88="",K88=""),0,MAX(0,D88-K88))</x:f>
        <x:v>0</x:v>
      </x:c>
      <x:c r="M88" s="8"/>
      <x:c r="N88" s="12" t="n">
        <x:f>Rules!$F$2</x:f>
        <x:v>0.2</x:v>
      </x:c>
      <x:c r="O88" s="10" t="n">
        <x:f>IF(M88="Verified",L88*N88,0)</x:f>
        <x:v>0</x:v>
      </x:c>
      <x:c r="P88" s="10" t="n">
        <x:f>IF(M88="Verified",L88-O88,0)</x:f>
        <x:v>0</x:v>
      </x:c>
      <x:c r="Q88" s="14"/>
      <x:c r="R88" s="8"/>
      <x:c r="S88" s="8"/>
      <x:c r="T88" s="14"/>
      <x:c r="U88" s="8"/>
    </x:row>
    <x:row r="89">
      <x:c r="A89" s="8" t="str">
        <x:f>IF(B89="","","WB-"&amp;TEXT(ROW()-1,"000"))</x:f>
      </x:c>
      <x:c r="B89" s="8"/>
      <x:c r="C89" s="8"/>
      <x:c r="D89" s="10"/>
      <x:c r="E89" s="8"/>
      <x:c r="F89" s="8"/>
      <x:c r="G89" s="8"/>
      <x:c r="H89" s="8"/>
      <x:c r="I89" s="8"/>
      <x:c r="J89" s="10"/>
      <x:c r="K89" s="10"/>
      <x:c r="L89" s="10" t="n">
        <x:f>IF(OR(D89="",K89=""),0,MAX(0,D89-K89))</x:f>
        <x:v>0</x:v>
      </x:c>
      <x:c r="M89" s="8"/>
      <x:c r="N89" s="12" t="n">
        <x:f>Rules!$F$2</x:f>
        <x:v>0.2</x:v>
      </x:c>
      <x:c r="O89" s="10" t="n">
        <x:f>IF(M89="Verified",L89*N89,0)</x:f>
        <x:v>0</x:v>
      </x:c>
      <x:c r="P89" s="10" t="n">
        <x:f>IF(M89="Verified",L89-O89,0)</x:f>
        <x:v>0</x:v>
      </x:c>
      <x:c r="Q89" s="14"/>
      <x:c r="R89" s="8"/>
      <x:c r="S89" s="8"/>
      <x:c r="T89" s="14"/>
      <x:c r="U89" s="8"/>
    </x:row>
    <x:row r="90">
      <x:c r="A90" s="8" t="str">
        <x:f>IF(B90="","","WB-"&amp;TEXT(ROW()-1,"000"))</x:f>
      </x:c>
      <x:c r="B90" s="8"/>
      <x:c r="C90" s="8"/>
      <x:c r="D90" s="10"/>
      <x:c r="E90" s="8"/>
      <x:c r="F90" s="8"/>
      <x:c r="G90" s="8"/>
      <x:c r="H90" s="8"/>
      <x:c r="I90" s="8"/>
      <x:c r="J90" s="10"/>
      <x:c r="K90" s="10"/>
      <x:c r="L90" s="10" t="n">
        <x:f>IF(OR(D90="",K90=""),0,MAX(0,D90-K90))</x:f>
        <x:v>0</x:v>
      </x:c>
      <x:c r="M90" s="8"/>
      <x:c r="N90" s="12" t="n">
        <x:f>Rules!$F$2</x:f>
        <x:v>0.2</x:v>
      </x:c>
      <x:c r="O90" s="10" t="n">
        <x:f>IF(M90="Verified",L90*N90,0)</x:f>
        <x:v>0</x:v>
      </x:c>
      <x:c r="P90" s="10" t="n">
        <x:f>IF(M90="Verified",L90-O90,0)</x:f>
        <x:v>0</x:v>
      </x:c>
      <x:c r="Q90" s="14"/>
      <x:c r="R90" s="8"/>
      <x:c r="S90" s="8"/>
      <x:c r="T90" s="14"/>
      <x:c r="U90" s="8"/>
    </x:row>
    <x:row r="91">
      <x:c r="A91" s="8" t="str">
        <x:f>IF(B91="","","WB-"&amp;TEXT(ROW()-1,"000"))</x:f>
      </x:c>
      <x:c r="B91" s="8"/>
      <x:c r="C91" s="8"/>
      <x:c r="D91" s="10"/>
      <x:c r="E91" s="8"/>
      <x:c r="F91" s="8"/>
      <x:c r="G91" s="8"/>
      <x:c r="H91" s="8"/>
      <x:c r="I91" s="8"/>
      <x:c r="J91" s="10"/>
      <x:c r="K91" s="10"/>
      <x:c r="L91" s="10" t="n">
        <x:f>IF(OR(D91="",K91=""),0,MAX(0,D91-K91))</x:f>
        <x:v>0</x:v>
      </x:c>
      <x:c r="M91" s="8"/>
      <x:c r="N91" s="12" t="n">
        <x:f>Rules!$F$2</x:f>
        <x:v>0.2</x:v>
      </x:c>
      <x:c r="O91" s="10" t="n">
        <x:f>IF(M91="Verified",L91*N91,0)</x:f>
        <x:v>0</x:v>
      </x:c>
      <x:c r="P91" s="10" t="n">
        <x:f>IF(M91="Verified",L91-O91,0)</x:f>
        <x:v>0</x:v>
      </x:c>
      <x:c r="Q91" s="14"/>
      <x:c r="R91" s="8"/>
      <x:c r="S91" s="8"/>
      <x:c r="T91" s="14"/>
      <x:c r="U91" s="8"/>
    </x:row>
    <x:row r="92">
      <x:c r="A92" s="8" t="str">
        <x:f>IF(B92="","","WB-"&amp;TEXT(ROW()-1,"000"))</x:f>
      </x:c>
      <x:c r="B92" s="8"/>
      <x:c r="C92" s="8"/>
      <x:c r="D92" s="10"/>
      <x:c r="E92" s="8"/>
      <x:c r="F92" s="8"/>
      <x:c r="G92" s="8"/>
      <x:c r="H92" s="8"/>
      <x:c r="I92" s="8"/>
      <x:c r="J92" s="10"/>
      <x:c r="K92" s="10"/>
      <x:c r="L92" s="10" t="n">
        <x:f>IF(OR(D92="",K92=""),0,MAX(0,D92-K92))</x:f>
        <x:v>0</x:v>
      </x:c>
      <x:c r="M92" s="8"/>
      <x:c r="N92" s="12" t="n">
        <x:f>Rules!$F$2</x:f>
        <x:v>0.2</x:v>
      </x:c>
      <x:c r="O92" s="10" t="n">
        <x:f>IF(M92="Verified",L92*N92,0)</x:f>
        <x:v>0</x:v>
      </x:c>
      <x:c r="P92" s="10" t="n">
        <x:f>IF(M92="Verified",L92-O92,0)</x:f>
        <x:v>0</x:v>
      </x:c>
      <x:c r="Q92" s="14"/>
      <x:c r="R92" s="8"/>
      <x:c r="S92" s="8"/>
      <x:c r="T92" s="14"/>
      <x:c r="U92" s="8"/>
    </x:row>
    <x:row r="93">
      <x:c r="A93" s="8" t="str">
        <x:f>IF(B93="","","WB-"&amp;TEXT(ROW()-1,"000"))</x:f>
      </x:c>
      <x:c r="B93" s="8"/>
      <x:c r="C93" s="8"/>
      <x:c r="D93" s="10"/>
      <x:c r="E93" s="8"/>
      <x:c r="F93" s="8"/>
      <x:c r="G93" s="8"/>
      <x:c r="H93" s="8"/>
      <x:c r="I93" s="8"/>
      <x:c r="J93" s="10"/>
      <x:c r="K93" s="10"/>
      <x:c r="L93" s="10" t="n">
        <x:f>IF(OR(D93="",K93=""),0,MAX(0,D93-K93))</x:f>
        <x:v>0</x:v>
      </x:c>
      <x:c r="M93" s="8"/>
      <x:c r="N93" s="12" t="n">
        <x:f>Rules!$F$2</x:f>
        <x:v>0.2</x:v>
      </x:c>
      <x:c r="O93" s="10" t="n">
        <x:f>IF(M93="Verified",L93*N93,0)</x:f>
        <x:v>0</x:v>
      </x:c>
      <x:c r="P93" s="10" t="n">
        <x:f>IF(M93="Verified",L93-O93,0)</x:f>
        <x:v>0</x:v>
      </x:c>
      <x:c r="Q93" s="14"/>
      <x:c r="R93" s="8"/>
      <x:c r="S93" s="8"/>
      <x:c r="T93" s="14"/>
      <x:c r="U93" s="8"/>
    </x:row>
    <x:row r="94">
      <x:c r="A94" s="8" t="str">
        <x:f>IF(B94="","","WB-"&amp;TEXT(ROW()-1,"000"))</x:f>
      </x:c>
      <x:c r="B94" s="8"/>
      <x:c r="C94" s="8"/>
      <x:c r="D94" s="10"/>
      <x:c r="E94" s="8"/>
      <x:c r="F94" s="8"/>
      <x:c r="G94" s="8"/>
      <x:c r="H94" s="8"/>
      <x:c r="I94" s="8"/>
      <x:c r="J94" s="10"/>
      <x:c r="K94" s="10"/>
      <x:c r="L94" s="10" t="n">
        <x:f>IF(OR(D94="",K94=""),0,MAX(0,D94-K94))</x:f>
        <x:v>0</x:v>
      </x:c>
      <x:c r="M94" s="8"/>
      <x:c r="N94" s="12" t="n">
        <x:f>Rules!$F$2</x:f>
        <x:v>0.2</x:v>
      </x:c>
      <x:c r="O94" s="10" t="n">
        <x:f>IF(M94="Verified",L94*N94,0)</x:f>
        <x:v>0</x:v>
      </x:c>
      <x:c r="P94" s="10" t="n">
        <x:f>IF(M94="Verified",L94-O94,0)</x:f>
        <x:v>0</x:v>
      </x:c>
      <x:c r="Q94" s="14"/>
      <x:c r="R94" s="8"/>
      <x:c r="S94" s="8"/>
      <x:c r="T94" s="14"/>
      <x:c r="U94" s="8"/>
    </x:row>
    <x:row r="95">
      <x:c r="A95" s="8" t="str">
        <x:f>IF(B95="","","WB-"&amp;TEXT(ROW()-1,"000"))</x:f>
      </x:c>
      <x:c r="B95" s="8"/>
      <x:c r="C95" s="8"/>
      <x:c r="D95" s="10"/>
      <x:c r="E95" s="8"/>
      <x:c r="F95" s="8"/>
      <x:c r="G95" s="8"/>
      <x:c r="H95" s="8"/>
      <x:c r="I95" s="8"/>
      <x:c r="J95" s="10"/>
      <x:c r="K95" s="10"/>
      <x:c r="L95" s="10" t="n">
        <x:f>IF(OR(D95="",K95=""),0,MAX(0,D95-K95))</x:f>
        <x:v>0</x:v>
      </x:c>
      <x:c r="M95" s="8"/>
      <x:c r="N95" s="12" t="n">
        <x:f>Rules!$F$2</x:f>
        <x:v>0.2</x:v>
      </x:c>
      <x:c r="O95" s="10" t="n">
        <x:f>IF(M95="Verified",L95*N95,0)</x:f>
        <x:v>0</x:v>
      </x:c>
      <x:c r="P95" s="10" t="n">
        <x:f>IF(M95="Verified",L95-O95,0)</x:f>
        <x:v>0</x:v>
      </x:c>
      <x:c r="Q95" s="14"/>
      <x:c r="R95" s="8"/>
      <x:c r="S95" s="8"/>
      <x:c r="T95" s="14"/>
      <x:c r="U95" s="8"/>
    </x:row>
    <x:row r="96">
      <x:c r="A96" s="8" t="str">
        <x:f>IF(B96="","","WB-"&amp;TEXT(ROW()-1,"000"))</x:f>
      </x:c>
      <x:c r="B96" s="8"/>
      <x:c r="C96" s="8"/>
      <x:c r="D96" s="10"/>
      <x:c r="E96" s="8"/>
      <x:c r="F96" s="8"/>
      <x:c r="G96" s="8"/>
      <x:c r="H96" s="8"/>
      <x:c r="I96" s="8"/>
      <x:c r="J96" s="10"/>
      <x:c r="K96" s="10"/>
      <x:c r="L96" s="10" t="n">
        <x:f>IF(OR(D96="",K96=""),0,MAX(0,D96-K96))</x:f>
        <x:v>0</x:v>
      </x:c>
      <x:c r="M96" s="8"/>
      <x:c r="N96" s="12" t="n">
        <x:f>Rules!$F$2</x:f>
        <x:v>0.2</x:v>
      </x:c>
      <x:c r="O96" s="10" t="n">
        <x:f>IF(M96="Verified",L96*N96,0)</x:f>
        <x:v>0</x:v>
      </x:c>
      <x:c r="P96" s="10" t="n">
        <x:f>IF(M96="Verified",L96-O96,0)</x:f>
        <x:v>0</x:v>
      </x:c>
      <x:c r="Q96" s="14"/>
      <x:c r="R96" s="8"/>
      <x:c r="S96" s="8"/>
      <x:c r="T96" s="14"/>
      <x:c r="U96" s="8"/>
    </x:row>
    <x:row r="97">
      <x:c r="A97" s="8" t="str">
        <x:f>IF(B97="","","WB-"&amp;TEXT(ROW()-1,"000"))</x:f>
      </x:c>
      <x:c r="B97" s="8"/>
      <x:c r="C97" s="8"/>
      <x:c r="D97" s="10"/>
      <x:c r="E97" s="8"/>
      <x:c r="F97" s="8"/>
      <x:c r="G97" s="8"/>
      <x:c r="H97" s="8"/>
      <x:c r="I97" s="8"/>
      <x:c r="J97" s="10"/>
      <x:c r="K97" s="10"/>
      <x:c r="L97" s="10" t="n">
        <x:f>IF(OR(D97="",K97=""),0,MAX(0,D97-K97))</x:f>
        <x:v>0</x:v>
      </x:c>
      <x:c r="M97" s="8"/>
      <x:c r="N97" s="12" t="n">
        <x:f>Rules!$F$2</x:f>
        <x:v>0.2</x:v>
      </x:c>
      <x:c r="O97" s="10" t="n">
        <x:f>IF(M97="Verified",L97*N97,0)</x:f>
        <x:v>0</x:v>
      </x:c>
      <x:c r="P97" s="10" t="n">
        <x:f>IF(M97="Verified",L97-O97,0)</x:f>
        <x:v>0</x:v>
      </x:c>
      <x:c r="Q97" s="14"/>
      <x:c r="R97" s="8"/>
      <x:c r="S97" s="8"/>
      <x:c r="T97" s="14"/>
      <x:c r="U97" s="8"/>
    </x:row>
    <x:row r="98">
      <x:c r="A98" s="8" t="str">
        <x:f>IF(B98="","","WB-"&amp;TEXT(ROW()-1,"000"))</x:f>
      </x:c>
      <x:c r="B98" s="8"/>
      <x:c r="C98" s="8"/>
      <x:c r="D98" s="10"/>
      <x:c r="E98" s="8"/>
      <x:c r="F98" s="8"/>
      <x:c r="G98" s="8"/>
      <x:c r="H98" s="8"/>
      <x:c r="I98" s="8"/>
      <x:c r="J98" s="10"/>
      <x:c r="K98" s="10"/>
      <x:c r="L98" s="10" t="n">
        <x:f>IF(OR(D98="",K98=""),0,MAX(0,D98-K98))</x:f>
        <x:v>0</x:v>
      </x:c>
      <x:c r="M98" s="8"/>
      <x:c r="N98" s="12" t="n">
        <x:f>Rules!$F$2</x:f>
        <x:v>0.2</x:v>
      </x:c>
      <x:c r="O98" s="10" t="n">
        <x:f>IF(M98="Verified",L98*N98,0)</x:f>
        <x:v>0</x:v>
      </x:c>
      <x:c r="P98" s="10" t="n">
        <x:f>IF(M98="Verified",L98-O98,0)</x:f>
        <x:v>0</x:v>
      </x:c>
      <x:c r="Q98" s="14"/>
      <x:c r="R98" s="8"/>
      <x:c r="S98" s="8"/>
      <x:c r="T98" s="14"/>
      <x:c r="U98" s="8"/>
    </x:row>
    <x:row r="99">
      <x:c r="A99" s="8" t="str">
        <x:f>IF(B99="","","WB-"&amp;TEXT(ROW()-1,"000"))</x:f>
      </x:c>
      <x:c r="B99" s="8"/>
      <x:c r="C99" s="8"/>
      <x:c r="D99" s="10"/>
      <x:c r="E99" s="8"/>
      <x:c r="F99" s="8"/>
      <x:c r="G99" s="8"/>
      <x:c r="H99" s="8"/>
      <x:c r="I99" s="8"/>
      <x:c r="J99" s="10"/>
      <x:c r="K99" s="10"/>
      <x:c r="L99" s="10" t="n">
        <x:f>IF(OR(D99="",K99=""),0,MAX(0,D99-K99))</x:f>
        <x:v>0</x:v>
      </x:c>
      <x:c r="M99" s="8"/>
      <x:c r="N99" s="12" t="n">
        <x:f>Rules!$F$2</x:f>
        <x:v>0.2</x:v>
      </x:c>
      <x:c r="O99" s="10" t="n">
        <x:f>IF(M99="Verified",L99*N99,0)</x:f>
        <x:v>0</x:v>
      </x:c>
      <x:c r="P99" s="10" t="n">
        <x:f>IF(M99="Verified",L99-O99,0)</x:f>
        <x:v>0</x:v>
      </x:c>
      <x:c r="Q99" s="14"/>
      <x:c r="R99" s="8"/>
      <x:c r="S99" s="8"/>
      <x:c r="T99" s="14"/>
      <x:c r="U99" s="8"/>
    </x:row>
    <x:row r="100">
      <x:c r="A100" s="8" t="str">
        <x:f>IF(B100="","","WB-"&amp;TEXT(ROW()-1,"000"))</x:f>
      </x:c>
      <x:c r="B100" s="8"/>
      <x:c r="C100" s="8"/>
      <x:c r="D100" s="10"/>
      <x:c r="E100" s="8"/>
      <x:c r="F100" s="8"/>
      <x:c r="G100" s="8"/>
      <x:c r="H100" s="8"/>
      <x:c r="I100" s="8"/>
      <x:c r="J100" s="10"/>
      <x:c r="K100" s="10"/>
      <x:c r="L100" s="10" t="n">
        <x:f>IF(OR(D100="",K100=""),0,MAX(0,D100-K100))</x:f>
        <x:v>0</x:v>
      </x:c>
      <x:c r="M100" s="8"/>
      <x:c r="N100" s="12" t="n">
        <x:f>Rules!$F$2</x:f>
        <x:v>0.2</x:v>
      </x:c>
      <x:c r="O100" s="10" t="n">
        <x:f>IF(M100="Verified",L100*N100,0)</x:f>
        <x:v>0</x:v>
      </x:c>
      <x:c r="P100" s="10" t="n">
        <x:f>IF(M100="Verified",L100-O100,0)</x:f>
        <x:v>0</x:v>
      </x:c>
      <x:c r="Q100" s="14"/>
      <x:c r="R100" s="8"/>
      <x:c r="S100" s="8"/>
      <x:c r="T100" s="14"/>
      <x:c r="U100" s="8"/>
    </x:row>
    <x:row r="101">
      <x:c r="A101" s="8" t="str">
        <x:f>IF(B101="","","WB-"&amp;TEXT(ROW()-1,"000"))</x:f>
      </x:c>
      <x:c r="B101" s="8"/>
      <x:c r="C101" s="8"/>
      <x:c r="D101" s="10"/>
      <x:c r="E101" s="8"/>
      <x:c r="F101" s="8"/>
      <x:c r="G101" s="8"/>
      <x:c r="H101" s="8"/>
      <x:c r="I101" s="8"/>
      <x:c r="J101" s="10"/>
      <x:c r="K101" s="10"/>
      <x:c r="L101" s="10" t="n">
        <x:f>IF(OR(D101="",K101=""),0,MAX(0,D101-K101))</x:f>
        <x:v>0</x:v>
      </x:c>
      <x:c r="M101" s="8"/>
      <x:c r="N101" s="12" t="n">
        <x:f>Rules!$F$2</x:f>
        <x:v>0.2</x:v>
      </x:c>
      <x:c r="O101" s="10" t="n">
        <x:f>IF(M101="Verified",L101*N101,0)</x:f>
        <x:v>0</x:v>
      </x:c>
      <x:c r="P101" s="10" t="n">
        <x:f>IF(M101="Verified",L101-O101,0)</x:f>
        <x:v>0</x:v>
      </x:c>
      <x:c r="Q101" s="14"/>
      <x:c r="R101" s="8"/>
      <x:c r="S101" s="8"/>
      <x:c r="T101" s="14"/>
      <x:c r="U101" s="8"/>
    </x:row>
    <x:row r="102">
      <x:c r="A102" s="8" t="str">
        <x:f>IF(B102="","","WB-"&amp;TEXT(ROW()-1,"000"))</x:f>
      </x:c>
      <x:c r="B102" s="8"/>
      <x:c r="C102" s="8"/>
      <x:c r="D102" s="10"/>
      <x:c r="E102" s="8"/>
      <x:c r="F102" s="8"/>
      <x:c r="G102" s="8"/>
      <x:c r="H102" s="8"/>
      <x:c r="I102" s="8"/>
      <x:c r="J102" s="10"/>
      <x:c r="K102" s="10"/>
      <x:c r="L102" s="10" t="n">
        <x:f>IF(OR(D102="",K102=""),0,MAX(0,D102-K102))</x:f>
        <x:v>0</x:v>
      </x:c>
      <x:c r="M102" s="8"/>
      <x:c r="N102" s="12" t="n">
        <x:f>Rules!$F$2</x:f>
        <x:v>0.2</x:v>
      </x:c>
      <x:c r="O102" s="10" t="n">
        <x:f>IF(M102="Verified",L102*N102,0)</x:f>
        <x:v>0</x:v>
      </x:c>
      <x:c r="P102" s="10" t="n">
        <x:f>IF(M102="Verified",L102-O102,0)</x:f>
        <x:v>0</x:v>
      </x:c>
      <x:c r="Q102" s="14"/>
      <x:c r="R102" s="8"/>
      <x:c r="S102" s="8"/>
      <x:c r="T102" s="14"/>
      <x:c r="U102" s="8"/>
    </x:row>
    <x:row r="103">
      <x:c r="A103" s="8" t="str">
        <x:f>IF(B103="","","WB-"&amp;TEXT(ROW()-1,"000"))</x:f>
      </x:c>
      <x:c r="B103" s="8"/>
      <x:c r="C103" s="8"/>
      <x:c r="D103" s="10"/>
      <x:c r="E103" s="8"/>
      <x:c r="F103" s="8"/>
      <x:c r="G103" s="8"/>
      <x:c r="H103" s="8"/>
      <x:c r="I103" s="8"/>
      <x:c r="J103" s="10"/>
      <x:c r="K103" s="10"/>
      <x:c r="L103" s="10" t="n">
        <x:f>IF(OR(D103="",K103=""),0,MAX(0,D103-K103))</x:f>
        <x:v>0</x:v>
      </x:c>
      <x:c r="M103" s="8"/>
      <x:c r="N103" s="12" t="n">
        <x:f>Rules!$F$2</x:f>
        <x:v>0.2</x:v>
      </x:c>
      <x:c r="O103" s="10" t="n">
        <x:f>IF(M103="Verified",L103*N103,0)</x:f>
        <x:v>0</x:v>
      </x:c>
      <x:c r="P103" s="10" t="n">
        <x:f>IF(M103="Verified",L103-O103,0)</x:f>
        <x:v>0</x:v>
      </x:c>
      <x:c r="Q103" s="14"/>
      <x:c r="R103" s="8"/>
      <x:c r="S103" s="8"/>
      <x:c r="T103" s="14"/>
      <x:c r="U103" s="8"/>
    </x:row>
    <x:row r="104">
      <x:c r="A104" s="8" t="str">
        <x:f>IF(B104="","","WB-"&amp;TEXT(ROW()-1,"000"))</x:f>
      </x:c>
      <x:c r="B104" s="8"/>
      <x:c r="C104" s="8"/>
      <x:c r="D104" s="10"/>
      <x:c r="E104" s="8"/>
      <x:c r="F104" s="8"/>
      <x:c r="G104" s="8"/>
      <x:c r="H104" s="8"/>
      <x:c r="I104" s="8"/>
      <x:c r="J104" s="10"/>
      <x:c r="K104" s="10"/>
      <x:c r="L104" s="10" t="n">
        <x:f>IF(OR(D104="",K104=""),0,MAX(0,D104-K104))</x:f>
        <x:v>0</x:v>
      </x:c>
      <x:c r="M104" s="8"/>
      <x:c r="N104" s="12" t="n">
        <x:f>Rules!$F$2</x:f>
        <x:v>0.2</x:v>
      </x:c>
      <x:c r="O104" s="10" t="n">
        <x:f>IF(M104="Verified",L104*N104,0)</x:f>
        <x:v>0</x:v>
      </x:c>
      <x:c r="P104" s="10" t="n">
        <x:f>IF(M104="Verified",L104-O104,0)</x:f>
        <x:v>0</x:v>
      </x:c>
      <x:c r="Q104" s="14"/>
      <x:c r="R104" s="8"/>
      <x:c r="S104" s="8"/>
      <x:c r="T104" s="14"/>
      <x:c r="U104" s="8"/>
    </x:row>
    <x:row r="105">
      <x:c r="A105" s="8" t="str">
        <x:f>IF(B105="","","WB-"&amp;TEXT(ROW()-1,"000"))</x:f>
      </x:c>
      <x:c r="B105" s="8"/>
      <x:c r="C105" s="8"/>
      <x:c r="D105" s="10"/>
      <x:c r="E105" s="8"/>
      <x:c r="F105" s="8"/>
      <x:c r="G105" s="8"/>
      <x:c r="H105" s="8"/>
      <x:c r="I105" s="8"/>
      <x:c r="J105" s="10"/>
      <x:c r="K105" s="10"/>
      <x:c r="L105" s="10" t="n">
        <x:f>IF(OR(D105="",K105=""),0,MAX(0,D105-K105))</x:f>
        <x:v>0</x:v>
      </x:c>
      <x:c r="M105" s="8"/>
      <x:c r="N105" s="12" t="n">
        <x:f>Rules!$F$2</x:f>
        <x:v>0.2</x:v>
      </x:c>
      <x:c r="O105" s="10" t="n">
        <x:f>IF(M105="Verified",L105*N105,0)</x:f>
        <x:v>0</x:v>
      </x:c>
      <x:c r="P105" s="10" t="n">
        <x:f>IF(M105="Verified",L105-O105,0)</x:f>
        <x:v>0</x:v>
      </x:c>
      <x:c r="Q105" s="14"/>
      <x:c r="R105" s="8"/>
      <x:c r="S105" s="8"/>
      <x:c r="T105" s="14"/>
      <x:c r="U105" s="8"/>
    </x:row>
    <x:row r="106">
      <x:c r="A106" s="8" t="str">
        <x:f>IF(B106="","","WB-"&amp;TEXT(ROW()-1,"000"))</x:f>
      </x:c>
      <x:c r="B106" s="8"/>
      <x:c r="C106" s="8"/>
      <x:c r="D106" s="10"/>
      <x:c r="E106" s="8"/>
      <x:c r="F106" s="8"/>
      <x:c r="G106" s="8"/>
      <x:c r="H106" s="8"/>
      <x:c r="I106" s="8"/>
      <x:c r="J106" s="10"/>
      <x:c r="K106" s="10"/>
      <x:c r="L106" s="10" t="n">
        <x:f>IF(OR(D106="",K106=""),0,MAX(0,D106-K106))</x:f>
        <x:v>0</x:v>
      </x:c>
      <x:c r="M106" s="8"/>
      <x:c r="N106" s="12" t="n">
        <x:f>Rules!$F$2</x:f>
        <x:v>0.2</x:v>
      </x:c>
      <x:c r="O106" s="10" t="n">
        <x:f>IF(M106="Verified",L106*N106,0)</x:f>
        <x:v>0</x:v>
      </x:c>
      <x:c r="P106" s="10" t="n">
        <x:f>IF(M106="Verified",L106-O106,0)</x:f>
        <x:v>0</x:v>
      </x:c>
      <x:c r="Q106" s="14"/>
      <x:c r="R106" s="8"/>
      <x:c r="S106" s="8"/>
      <x:c r="T106" s="14"/>
      <x:c r="U106" s="8"/>
    </x:row>
    <x:row r="107">
      <x:c r="A107" s="8" t="str">
        <x:f>IF(B107="","","WB-"&amp;TEXT(ROW()-1,"000"))</x:f>
      </x:c>
      <x:c r="B107" s="8"/>
      <x:c r="C107" s="8"/>
      <x:c r="D107" s="10"/>
      <x:c r="E107" s="8"/>
      <x:c r="F107" s="8"/>
      <x:c r="G107" s="8"/>
      <x:c r="H107" s="8"/>
      <x:c r="I107" s="8"/>
      <x:c r="J107" s="10"/>
      <x:c r="K107" s="10"/>
      <x:c r="L107" s="10" t="n">
        <x:f>IF(OR(D107="",K107=""),0,MAX(0,D107-K107))</x:f>
        <x:v>0</x:v>
      </x:c>
      <x:c r="M107" s="8"/>
      <x:c r="N107" s="12" t="n">
        <x:f>Rules!$F$2</x:f>
        <x:v>0.2</x:v>
      </x:c>
      <x:c r="O107" s="10" t="n">
        <x:f>IF(M107="Verified",L107*N107,0)</x:f>
        <x:v>0</x:v>
      </x:c>
      <x:c r="P107" s="10" t="n">
        <x:f>IF(M107="Verified",L107-O107,0)</x:f>
        <x:v>0</x:v>
      </x:c>
      <x:c r="Q107" s="14"/>
      <x:c r="R107" s="8"/>
      <x:c r="S107" s="8"/>
      <x:c r="T107" s="14"/>
      <x:c r="U107" s="8"/>
    </x:row>
    <x:row r="108">
      <x:c r="A108" s="8" t="str">
        <x:f>IF(B108="","","WB-"&amp;TEXT(ROW()-1,"000"))</x:f>
      </x:c>
      <x:c r="B108" s="8"/>
      <x:c r="C108" s="8"/>
      <x:c r="D108" s="10"/>
      <x:c r="E108" s="8"/>
      <x:c r="F108" s="8"/>
      <x:c r="G108" s="8"/>
      <x:c r="H108" s="8"/>
      <x:c r="I108" s="8"/>
      <x:c r="J108" s="10"/>
      <x:c r="K108" s="10"/>
      <x:c r="L108" s="10" t="n">
        <x:f>IF(OR(D108="",K108=""),0,MAX(0,D108-K108))</x:f>
        <x:v>0</x:v>
      </x:c>
      <x:c r="M108" s="8"/>
      <x:c r="N108" s="12" t="n">
        <x:f>Rules!$F$2</x:f>
        <x:v>0.2</x:v>
      </x:c>
      <x:c r="O108" s="10" t="n">
        <x:f>IF(M108="Verified",L108*N108,0)</x:f>
        <x:v>0</x:v>
      </x:c>
      <x:c r="P108" s="10" t="n">
        <x:f>IF(M108="Verified",L108-O108,0)</x:f>
        <x:v>0</x:v>
      </x:c>
      <x:c r="Q108" s="14"/>
      <x:c r="R108" s="8"/>
      <x:c r="S108" s="8"/>
      <x:c r="T108" s="14"/>
      <x:c r="U108" s="8"/>
    </x:row>
    <x:row r="109">
      <x:c r="A109" s="8" t="str">
        <x:f>IF(B109="","","WB-"&amp;TEXT(ROW()-1,"000"))</x:f>
      </x:c>
      <x:c r="B109" s="8"/>
      <x:c r="C109" s="8"/>
      <x:c r="D109" s="10"/>
      <x:c r="E109" s="8"/>
      <x:c r="F109" s="8"/>
      <x:c r="G109" s="8"/>
      <x:c r="H109" s="8"/>
      <x:c r="I109" s="8"/>
      <x:c r="J109" s="10"/>
      <x:c r="K109" s="10"/>
      <x:c r="L109" s="10" t="n">
        <x:f>IF(OR(D109="",K109=""),0,MAX(0,D109-K109))</x:f>
        <x:v>0</x:v>
      </x:c>
      <x:c r="M109" s="8"/>
      <x:c r="N109" s="12" t="n">
        <x:f>Rules!$F$2</x:f>
        <x:v>0.2</x:v>
      </x:c>
      <x:c r="O109" s="10" t="n">
        <x:f>IF(M109="Verified",L109*N109,0)</x:f>
        <x:v>0</x:v>
      </x:c>
      <x:c r="P109" s="10" t="n">
        <x:f>IF(M109="Verified",L109-O109,0)</x:f>
        <x:v>0</x:v>
      </x:c>
      <x:c r="Q109" s="14"/>
      <x:c r="R109" s="8"/>
      <x:c r="S109" s="8"/>
      <x:c r="T109" s="14"/>
      <x:c r="U109" s="8"/>
    </x:row>
    <x:row r="110">
      <x:c r="A110" s="8" t="str">
        <x:f>IF(B110="","","WB-"&amp;TEXT(ROW()-1,"000"))</x:f>
      </x:c>
      <x:c r="B110" s="8"/>
      <x:c r="C110" s="8"/>
      <x:c r="D110" s="10"/>
      <x:c r="E110" s="8"/>
      <x:c r="F110" s="8"/>
      <x:c r="G110" s="8"/>
      <x:c r="H110" s="8"/>
      <x:c r="I110" s="8"/>
      <x:c r="J110" s="10"/>
      <x:c r="K110" s="10"/>
      <x:c r="L110" s="10" t="n">
        <x:f>IF(OR(D110="",K110=""),0,MAX(0,D110-K110))</x:f>
        <x:v>0</x:v>
      </x:c>
      <x:c r="M110" s="8"/>
      <x:c r="N110" s="12" t="n">
        <x:f>Rules!$F$2</x:f>
        <x:v>0.2</x:v>
      </x:c>
      <x:c r="O110" s="10" t="n">
        <x:f>IF(M110="Verified",L110*N110,0)</x:f>
        <x:v>0</x:v>
      </x:c>
      <x:c r="P110" s="10" t="n">
        <x:f>IF(M110="Verified",L110-O110,0)</x:f>
        <x:v>0</x:v>
      </x:c>
      <x:c r="Q110" s="14"/>
      <x:c r="R110" s="8"/>
      <x:c r="S110" s="8"/>
      <x:c r="T110" s="14"/>
      <x:c r="U110" s="8"/>
    </x:row>
    <x:row r="111">
      <x:c r="A111" s="8" t="str">
        <x:f>IF(B111="","","WB-"&amp;TEXT(ROW()-1,"000"))</x:f>
      </x:c>
      <x:c r="B111" s="8"/>
      <x:c r="C111" s="8"/>
      <x:c r="D111" s="10"/>
      <x:c r="E111" s="8"/>
      <x:c r="F111" s="8"/>
      <x:c r="G111" s="8"/>
      <x:c r="H111" s="8"/>
      <x:c r="I111" s="8"/>
      <x:c r="J111" s="10"/>
      <x:c r="K111" s="10"/>
      <x:c r="L111" s="10" t="n">
        <x:f>IF(OR(D111="",K111=""),0,MAX(0,D111-K111))</x:f>
        <x:v>0</x:v>
      </x:c>
      <x:c r="M111" s="8"/>
      <x:c r="N111" s="12" t="n">
        <x:f>Rules!$F$2</x:f>
        <x:v>0.2</x:v>
      </x:c>
      <x:c r="O111" s="10" t="n">
        <x:f>IF(M111="Verified",L111*N111,0)</x:f>
        <x:v>0</x:v>
      </x:c>
      <x:c r="P111" s="10" t="n">
        <x:f>IF(M111="Verified",L111-O111,0)</x:f>
        <x:v>0</x:v>
      </x:c>
      <x:c r="Q111" s="14"/>
      <x:c r="R111" s="8"/>
      <x:c r="S111" s="8"/>
      <x:c r="T111" s="14"/>
      <x:c r="U111" s="8"/>
    </x:row>
    <x:row r="112">
      <x:c r="A112" s="8" t="str">
        <x:f>IF(B112="","","WB-"&amp;TEXT(ROW()-1,"000"))</x:f>
      </x:c>
      <x:c r="B112" s="8"/>
      <x:c r="C112" s="8"/>
      <x:c r="D112" s="10"/>
      <x:c r="E112" s="8"/>
      <x:c r="F112" s="8"/>
      <x:c r="G112" s="8"/>
      <x:c r="H112" s="8"/>
      <x:c r="I112" s="8"/>
      <x:c r="J112" s="10"/>
      <x:c r="K112" s="10"/>
      <x:c r="L112" s="10" t="n">
        <x:f>IF(OR(D112="",K112=""),0,MAX(0,D112-K112))</x:f>
        <x:v>0</x:v>
      </x:c>
      <x:c r="M112" s="8"/>
      <x:c r="N112" s="12" t="n">
        <x:f>Rules!$F$2</x:f>
        <x:v>0.2</x:v>
      </x:c>
      <x:c r="O112" s="10" t="n">
        <x:f>IF(M112="Verified",L112*N112,0)</x:f>
        <x:v>0</x:v>
      </x:c>
      <x:c r="P112" s="10" t="n">
        <x:f>IF(M112="Verified",L112-O112,0)</x:f>
        <x:v>0</x:v>
      </x:c>
      <x:c r="Q112" s="14"/>
      <x:c r="R112" s="8"/>
      <x:c r="S112" s="8"/>
      <x:c r="T112" s="14"/>
      <x:c r="U112" s="8"/>
    </x:row>
    <x:row r="113">
      <x:c r="A113" s="8" t="str">
        <x:f>IF(B113="","","WB-"&amp;TEXT(ROW()-1,"000"))</x:f>
      </x:c>
      <x:c r="B113" s="8"/>
      <x:c r="C113" s="8"/>
      <x:c r="D113" s="10"/>
      <x:c r="E113" s="8"/>
      <x:c r="F113" s="8"/>
      <x:c r="G113" s="8"/>
      <x:c r="H113" s="8"/>
      <x:c r="I113" s="8"/>
      <x:c r="J113" s="10"/>
      <x:c r="K113" s="10"/>
      <x:c r="L113" s="10" t="n">
        <x:f>IF(OR(D113="",K113=""),0,MAX(0,D113-K113))</x:f>
        <x:v>0</x:v>
      </x:c>
      <x:c r="M113" s="8"/>
      <x:c r="N113" s="12" t="n">
        <x:f>Rules!$F$2</x:f>
        <x:v>0.2</x:v>
      </x:c>
      <x:c r="O113" s="10" t="n">
        <x:f>IF(M113="Verified",L113*N113,0)</x:f>
        <x:v>0</x:v>
      </x:c>
      <x:c r="P113" s="10" t="n">
        <x:f>IF(M113="Verified",L113-O113,0)</x:f>
        <x:v>0</x:v>
      </x:c>
      <x:c r="Q113" s="14"/>
      <x:c r="R113" s="8"/>
      <x:c r="S113" s="8"/>
      <x:c r="T113" s="14"/>
      <x:c r="U113" s="8"/>
    </x:row>
    <x:row r="114">
      <x:c r="A114" s="8" t="str">
        <x:f>IF(B114="","","WB-"&amp;TEXT(ROW()-1,"000"))</x:f>
      </x:c>
      <x:c r="B114" s="8"/>
      <x:c r="C114" s="8"/>
      <x:c r="D114" s="10"/>
      <x:c r="E114" s="8"/>
      <x:c r="F114" s="8"/>
      <x:c r="G114" s="8"/>
      <x:c r="H114" s="8"/>
      <x:c r="I114" s="8"/>
      <x:c r="J114" s="10"/>
      <x:c r="K114" s="10"/>
      <x:c r="L114" s="10" t="n">
        <x:f>IF(OR(D114="",K114=""),0,MAX(0,D114-K114))</x:f>
        <x:v>0</x:v>
      </x:c>
      <x:c r="M114" s="8"/>
      <x:c r="N114" s="12" t="n">
        <x:f>Rules!$F$2</x:f>
        <x:v>0.2</x:v>
      </x:c>
      <x:c r="O114" s="10" t="n">
        <x:f>IF(M114="Verified",L114*N114,0)</x:f>
        <x:v>0</x:v>
      </x:c>
      <x:c r="P114" s="10" t="n">
        <x:f>IF(M114="Verified",L114-O114,0)</x:f>
        <x:v>0</x:v>
      </x:c>
      <x:c r="Q114" s="14"/>
      <x:c r="R114" s="8"/>
      <x:c r="S114" s="8"/>
      <x:c r="T114" s="14"/>
      <x:c r="U114" s="8"/>
    </x:row>
    <x:row r="115">
      <x:c r="A115" s="8" t="str">
        <x:f>IF(B115="","","WB-"&amp;TEXT(ROW()-1,"000"))</x:f>
      </x:c>
      <x:c r="B115" s="8"/>
      <x:c r="C115" s="8"/>
      <x:c r="D115" s="10"/>
      <x:c r="E115" s="8"/>
      <x:c r="F115" s="8"/>
      <x:c r="G115" s="8"/>
      <x:c r="H115" s="8"/>
      <x:c r="I115" s="8"/>
      <x:c r="J115" s="10"/>
      <x:c r="K115" s="10"/>
      <x:c r="L115" s="10" t="n">
        <x:f>IF(OR(D115="",K115=""),0,MAX(0,D115-K115))</x:f>
        <x:v>0</x:v>
      </x:c>
      <x:c r="M115" s="8"/>
      <x:c r="N115" s="12" t="n">
        <x:f>Rules!$F$2</x:f>
        <x:v>0.2</x:v>
      </x:c>
      <x:c r="O115" s="10" t="n">
        <x:f>IF(M115="Verified",L115*N115,0)</x:f>
        <x:v>0</x:v>
      </x:c>
      <x:c r="P115" s="10" t="n">
        <x:f>IF(M115="Verified",L115-O115,0)</x:f>
        <x:v>0</x:v>
      </x:c>
      <x:c r="Q115" s="14"/>
      <x:c r="R115" s="8"/>
      <x:c r="S115" s="8"/>
      <x:c r="T115" s="14"/>
      <x:c r="U115" s="8"/>
    </x:row>
    <x:row r="116">
      <x:c r="A116" s="8" t="str">
        <x:f>IF(B116="","","WB-"&amp;TEXT(ROW()-1,"000"))</x:f>
      </x:c>
      <x:c r="B116" s="8"/>
      <x:c r="C116" s="8"/>
      <x:c r="D116" s="10"/>
      <x:c r="E116" s="8"/>
      <x:c r="F116" s="8"/>
      <x:c r="G116" s="8"/>
      <x:c r="H116" s="8"/>
      <x:c r="I116" s="8"/>
      <x:c r="J116" s="10"/>
      <x:c r="K116" s="10"/>
      <x:c r="L116" s="10" t="n">
        <x:f>IF(OR(D116="",K116=""),0,MAX(0,D116-K116))</x:f>
        <x:v>0</x:v>
      </x:c>
      <x:c r="M116" s="8"/>
      <x:c r="N116" s="12" t="n">
        <x:f>Rules!$F$2</x:f>
        <x:v>0.2</x:v>
      </x:c>
      <x:c r="O116" s="10" t="n">
        <x:f>IF(M116="Verified",L116*N116,0)</x:f>
        <x:v>0</x:v>
      </x:c>
      <x:c r="P116" s="10" t="n">
        <x:f>IF(M116="Verified",L116-O116,0)</x:f>
        <x:v>0</x:v>
      </x:c>
      <x:c r="Q116" s="14"/>
      <x:c r="R116" s="8"/>
      <x:c r="S116" s="8"/>
      <x:c r="T116" s="14"/>
      <x:c r="U116" s="8"/>
    </x:row>
    <x:row r="117">
      <x:c r="A117" s="8" t="str">
        <x:f>IF(B117="","","WB-"&amp;TEXT(ROW()-1,"000"))</x:f>
      </x:c>
      <x:c r="B117" s="8"/>
      <x:c r="C117" s="8"/>
      <x:c r="D117" s="10"/>
      <x:c r="E117" s="8"/>
      <x:c r="F117" s="8"/>
      <x:c r="G117" s="8"/>
      <x:c r="H117" s="8"/>
      <x:c r="I117" s="8"/>
      <x:c r="J117" s="10"/>
      <x:c r="K117" s="10"/>
      <x:c r="L117" s="10" t="n">
        <x:f>IF(OR(D117="",K117=""),0,MAX(0,D117-K117))</x:f>
        <x:v>0</x:v>
      </x:c>
      <x:c r="M117" s="8"/>
      <x:c r="N117" s="12" t="n">
        <x:f>Rules!$F$2</x:f>
        <x:v>0.2</x:v>
      </x:c>
      <x:c r="O117" s="10" t="n">
        <x:f>IF(M117="Verified",L117*N117,0)</x:f>
        <x:v>0</x:v>
      </x:c>
      <x:c r="P117" s="10" t="n">
        <x:f>IF(M117="Verified",L117-O117,0)</x:f>
        <x:v>0</x:v>
      </x:c>
      <x:c r="Q117" s="14"/>
      <x:c r="R117" s="8"/>
      <x:c r="S117" s="8"/>
      <x:c r="T117" s="14"/>
      <x:c r="U117" s="8"/>
    </x:row>
    <x:row r="118">
      <x:c r="A118" s="8" t="str">
        <x:f>IF(B118="","","WB-"&amp;TEXT(ROW()-1,"000"))</x:f>
      </x:c>
      <x:c r="B118" s="8"/>
      <x:c r="C118" s="8"/>
      <x:c r="D118" s="10"/>
      <x:c r="E118" s="8"/>
      <x:c r="F118" s="8"/>
      <x:c r="G118" s="8"/>
      <x:c r="H118" s="8"/>
      <x:c r="I118" s="8"/>
      <x:c r="J118" s="10"/>
      <x:c r="K118" s="10"/>
      <x:c r="L118" s="10" t="n">
        <x:f>IF(OR(D118="",K118=""),0,MAX(0,D118-K118))</x:f>
        <x:v>0</x:v>
      </x:c>
      <x:c r="M118" s="8"/>
      <x:c r="N118" s="12" t="n">
        <x:f>Rules!$F$2</x:f>
        <x:v>0.2</x:v>
      </x:c>
      <x:c r="O118" s="10" t="n">
        <x:f>IF(M118="Verified",L118*N118,0)</x:f>
        <x:v>0</x:v>
      </x:c>
      <x:c r="P118" s="10" t="n">
        <x:f>IF(M118="Verified",L118-O118,0)</x:f>
        <x:v>0</x:v>
      </x:c>
      <x:c r="Q118" s="14"/>
      <x:c r="R118" s="8"/>
      <x:c r="S118" s="8"/>
      <x:c r="T118" s="14"/>
      <x:c r="U118" s="8"/>
    </x:row>
    <x:row r="119">
      <x:c r="A119" s="8" t="str">
        <x:f>IF(B119="","","WB-"&amp;TEXT(ROW()-1,"000"))</x:f>
      </x:c>
      <x:c r="B119" s="8"/>
      <x:c r="C119" s="8"/>
      <x:c r="D119" s="10"/>
      <x:c r="E119" s="8"/>
      <x:c r="F119" s="8"/>
      <x:c r="G119" s="8"/>
      <x:c r="H119" s="8"/>
      <x:c r="I119" s="8"/>
      <x:c r="J119" s="10"/>
      <x:c r="K119" s="10"/>
      <x:c r="L119" s="10" t="n">
        <x:f>IF(OR(D119="",K119=""),0,MAX(0,D119-K119))</x:f>
        <x:v>0</x:v>
      </x:c>
      <x:c r="M119" s="8"/>
      <x:c r="N119" s="12" t="n">
        <x:f>Rules!$F$2</x:f>
        <x:v>0.2</x:v>
      </x:c>
      <x:c r="O119" s="10" t="n">
        <x:f>IF(M119="Verified",L119*N119,0)</x:f>
        <x:v>0</x:v>
      </x:c>
      <x:c r="P119" s="10" t="n">
        <x:f>IF(M119="Verified",L119-O119,0)</x:f>
        <x:v>0</x:v>
      </x:c>
      <x:c r="Q119" s="14"/>
      <x:c r="R119" s="8"/>
      <x:c r="S119" s="8"/>
      <x:c r="T119" s="14"/>
      <x:c r="U119" s="8"/>
    </x:row>
    <x:row r="120">
      <x:c r="A120" s="8" t="str">
        <x:f>IF(B120="","","WB-"&amp;TEXT(ROW()-1,"000"))</x:f>
      </x:c>
      <x:c r="B120" s="8"/>
      <x:c r="C120" s="8"/>
      <x:c r="D120" s="10"/>
      <x:c r="E120" s="8"/>
      <x:c r="F120" s="8"/>
      <x:c r="G120" s="8"/>
      <x:c r="H120" s="8"/>
      <x:c r="I120" s="8"/>
      <x:c r="J120" s="10"/>
      <x:c r="K120" s="10"/>
      <x:c r="L120" s="10" t="n">
        <x:f>IF(OR(D120="",K120=""),0,MAX(0,D120-K120))</x:f>
        <x:v>0</x:v>
      </x:c>
      <x:c r="M120" s="8"/>
      <x:c r="N120" s="12" t="n">
        <x:f>Rules!$F$2</x:f>
        <x:v>0.2</x:v>
      </x:c>
      <x:c r="O120" s="10" t="n">
        <x:f>IF(M120="Verified",L120*N120,0)</x:f>
        <x:v>0</x:v>
      </x:c>
      <x:c r="P120" s="10" t="n">
        <x:f>IF(M120="Verified",L120-O120,0)</x:f>
        <x:v>0</x:v>
      </x:c>
      <x:c r="Q120" s="14"/>
      <x:c r="R120" s="8"/>
      <x:c r="S120" s="8"/>
      <x:c r="T120" s="14"/>
      <x:c r="U120" s="8"/>
    </x:row>
    <x:row r="121">
      <x:c r="A121" s="8" t="str">
        <x:f>IF(B121="","","WB-"&amp;TEXT(ROW()-1,"000"))</x:f>
      </x:c>
      <x:c r="B121" s="8"/>
      <x:c r="C121" s="8"/>
      <x:c r="D121" s="10"/>
      <x:c r="E121" s="8"/>
      <x:c r="F121" s="8"/>
      <x:c r="G121" s="8"/>
      <x:c r="H121" s="8"/>
      <x:c r="I121" s="8"/>
      <x:c r="J121" s="10"/>
      <x:c r="K121" s="10"/>
      <x:c r="L121" s="10" t="n">
        <x:f>IF(OR(D121="",K121=""),0,MAX(0,D121-K121))</x:f>
        <x:v>0</x:v>
      </x:c>
      <x:c r="M121" s="8"/>
      <x:c r="N121" s="12" t="n">
        <x:f>Rules!$F$2</x:f>
        <x:v>0.2</x:v>
      </x:c>
      <x:c r="O121" s="10" t="n">
        <x:f>IF(M121="Verified",L121*N121,0)</x:f>
        <x:v>0</x:v>
      </x:c>
      <x:c r="P121" s="10" t="n">
        <x:f>IF(M121="Verified",L121-O121,0)</x:f>
        <x:v>0</x:v>
      </x:c>
      <x:c r="Q121" s="14"/>
      <x:c r="R121" s="8"/>
      <x:c r="S121" s="8"/>
      <x:c r="T121" s="14"/>
      <x:c r="U121" s="8"/>
    </x:row>
    <x:row r="122">
      <x:c r="A122" s="8" t="str">
        <x:f>IF(B122="","","WB-"&amp;TEXT(ROW()-1,"000"))</x:f>
      </x:c>
      <x:c r="B122" s="8"/>
      <x:c r="C122" s="8"/>
      <x:c r="D122" s="10"/>
      <x:c r="E122" s="8"/>
      <x:c r="F122" s="8"/>
      <x:c r="G122" s="8"/>
      <x:c r="H122" s="8"/>
      <x:c r="I122" s="8"/>
      <x:c r="J122" s="10"/>
      <x:c r="K122" s="10"/>
      <x:c r="L122" s="10" t="n">
        <x:f>IF(OR(D122="",K122=""),0,MAX(0,D122-K122))</x:f>
        <x:v>0</x:v>
      </x:c>
      <x:c r="M122" s="8"/>
      <x:c r="N122" s="12" t="n">
        <x:f>Rules!$F$2</x:f>
        <x:v>0.2</x:v>
      </x:c>
      <x:c r="O122" s="10" t="n">
        <x:f>IF(M122="Verified",L122*N122,0)</x:f>
        <x:v>0</x:v>
      </x:c>
      <x:c r="P122" s="10" t="n">
        <x:f>IF(M122="Verified",L122-O122,0)</x:f>
        <x:v>0</x:v>
      </x:c>
      <x:c r="Q122" s="14"/>
      <x:c r="R122" s="8"/>
      <x:c r="S122" s="8"/>
      <x:c r="T122" s="14"/>
      <x:c r="U122" s="8"/>
    </x:row>
    <x:row r="123">
      <x:c r="A123" s="8" t="str">
        <x:f>IF(B123="","","WB-"&amp;TEXT(ROW()-1,"000"))</x:f>
      </x:c>
      <x:c r="B123" s="8"/>
      <x:c r="C123" s="8"/>
      <x:c r="D123" s="10"/>
      <x:c r="E123" s="8"/>
      <x:c r="F123" s="8"/>
      <x:c r="G123" s="8"/>
      <x:c r="H123" s="8"/>
      <x:c r="I123" s="8"/>
      <x:c r="J123" s="10"/>
      <x:c r="K123" s="10"/>
      <x:c r="L123" s="10" t="n">
        <x:f>IF(OR(D123="",K123=""),0,MAX(0,D123-K123))</x:f>
        <x:v>0</x:v>
      </x:c>
      <x:c r="M123" s="8"/>
      <x:c r="N123" s="12" t="n">
        <x:f>Rules!$F$2</x:f>
        <x:v>0.2</x:v>
      </x:c>
      <x:c r="O123" s="10" t="n">
        <x:f>IF(M123="Verified",L123*N123,0)</x:f>
        <x:v>0</x:v>
      </x:c>
      <x:c r="P123" s="10" t="n">
        <x:f>IF(M123="Verified",L123-O123,0)</x:f>
        <x:v>0</x:v>
      </x:c>
      <x:c r="Q123" s="14"/>
      <x:c r="R123" s="8"/>
      <x:c r="S123" s="8"/>
      <x:c r="T123" s="14"/>
      <x:c r="U123" s="8"/>
    </x:row>
    <x:row r="124">
      <x:c r="A124" s="8" t="str">
        <x:f>IF(B124="","","WB-"&amp;TEXT(ROW()-1,"000"))</x:f>
      </x:c>
      <x:c r="B124" s="8"/>
      <x:c r="C124" s="8"/>
      <x:c r="D124" s="10"/>
      <x:c r="E124" s="8"/>
      <x:c r="F124" s="8"/>
      <x:c r="G124" s="8"/>
      <x:c r="H124" s="8"/>
      <x:c r="I124" s="8"/>
      <x:c r="J124" s="10"/>
      <x:c r="K124" s="10"/>
      <x:c r="L124" s="10" t="n">
        <x:f>IF(OR(D124="",K124=""),0,MAX(0,D124-K124))</x:f>
        <x:v>0</x:v>
      </x:c>
      <x:c r="M124" s="8"/>
      <x:c r="N124" s="12" t="n">
        <x:f>Rules!$F$2</x:f>
        <x:v>0.2</x:v>
      </x:c>
      <x:c r="O124" s="10" t="n">
        <x:f>IF(M124="Verified",L124*N124,0)</x:f>
        <x:v>0</x:v>
      </x:c>
      <x:c r="P124" s="10" t="n">
        <x:f>IF(M124="Verified",L124-O124,0)</x:f>
        <x:v>0</x:v>
      </x:c>
      <x:c r="Q124" s="14"/>
      <x:c r="R124" s="8"/>
      <x:c r="S124" s="8"/>
      <x:c r="T124" s="14"/>
      <x:c r="U124" s="8"/>
    </x:row>
    <x:row r="125">
      <x:c r="A125" s="8" t="str">
        <x:f>IF(B125="","","WB-"&amp;TEXT(ROW()-1,"000"))</x:f>
      </x:c>
      <x:c r="B125" s="8"/>
      <x:c r="C125" s="8"/>
      <x:c r="D125" s="10"/>
      <x:c r="E125" s="8"/>
      <x:c r="F125" s="8"/>
      <x:c r="G125" s="8"/>
      <x:c r="H125" s="8"/>
      <x:c r="I125" s="8"/>
      <x:c r="J125" s="10"/>
      <x:c r="K125" s="10"/>
      <x:c r="L125" s="10" t="n">
        <x:f>IF(OR(D125="",K125=""),0,MAX(0,D125-K125))</x:f>
        <x:v>0</x:v>
      </x:c>
      <x:c r="M125" s="8"/>
      <x:c r="N125" s="12" t="n">
        <x:f>Rules!$F$2</x:f>
        <x:v>0.2</x:v>
      </x:c>
      <x:c r="O125" s="10" t="n">
        <x:f>IF(M125="Verified",L125*N125,0)</x:f>
        <x:v>0</x:v>
      </x:c>
      <x:c r="P125" s="10" t="n">
        <x:f>IF(M125="Verified",L125-O125,0)</x:f>
        <x:v>0</x:v>
      </x:c>
      <x:c r="Q125" s="14"/>
      <x:c r="R125" s="8"/>
      <x:c r="S125" s="8"/>
      <x:c r="T125" s="14"/>
      <x:c r="U125" s="8"/>
    </x:row>
    <x:row r="126">
      <x:c r="A126" s="8" t="str">
        <x:f>IF(B126="","","WB-"&amp;TEXT(ROW()-1,"000"))</x:f>
      </x:c>
      <x:c r="B126" s="8"/>
      <x:c r="C126" s="8"/>
      <x:c r="D126" s="10"/>
      <x:c r="E126" s="8"/>
      <x:c r="F126" s="8"/>
      <x:c r="G126" s="8"/>
      <x:c r="H126" s="8"/>
      <x:c r="I126" s="8"/>
      <x:c r="J126" s="10"/>
      <x:c r="K126" s="10"/>
      <x:c r="L126" s="10" t="n">
        <x:f>IF(OR(D126="",K126=""),0,MAX(0,D126-K126))</x:f>
        <x:v>0</x:v>
      </x:c>
      <x:c r="M126" s="8"/>
      <x:c r="N126" s="12" t="n">
        <x:f>Rules!$F$2</x:f>
        <x:v>0.2</x:v>
      </x:c>
      <x:c r="O126" s="10" t="n">
        <x:f>IF(M126="Verified",L126*N126,0)</x:f>
        <x:v>0</x:v>
      </x:c>
      <x:c r="P126" s="10" t="n">
        <x:f>IF(M126="Verified",L126-O126,0)</x:f>
        <x:v>0</x:v>
      </x:c>
      <x:c r="Q126" s="14"/>
      <x:c r="R126" s="8"/>
      <x:c r="S126" s="8"/>
      <x:c r="T126" s="14"/>
      <x:c r="U126" s="8"/>
    </x:row>
    <x:row r="127">
      <x:c r="A127" s="8" t="str">
        <x:f>IF(B127="","","WB-"&amp;TEXT(ROW()-1,"000"))</x:f>
      </x:c>
      <x:c r="B127" s="8"/>
      <x:c r="C127" s="8"/>
      <x:c r="D127" s="10"/>
      <x:c r="E127" s="8"/>
      <x:c r="F127" s="8"/>
      <x:c r="G127" s="8"/>
      <x:c r="H127" s="8"/>
      <x:c r="I127" s="8"/>
      <x:c r="J127" s="10"/>
      <x:c r="K127" s="10"/>
      <x:c r="L127" s="10" t="n">
        <x:f>IF(OR(D127="",K127=""),0,MAX(0,D127-K127))</x:f>
        <x:v>0</x:v>
      </x:c>
      <x:c r="M127" s="8"/>
      <x:c r="N127" s="12" t="n">
        <x:f>Rules!$F$2</x:f>
        <x:v>0.2</x:v>
      </x:c>
      <x:c r="O127" s="10" t="n">
        <x:f>IF(M127="Verified",L127*N127,0)</x:f>
        <x:v>0</x:v>
      </x:c>
      <x:c r="P127" s="10" t="n">
        <x:f>IF(M127="Verified",L127-O127,0)</x:f>
        <x:v>0</x:v>
      </x:c>
      <x:c r="Q127" s="14"/>
      <x:c r="R127" s="8"/>
      <x:c r="S127" s="8"/>
      <x:c r="T127" s="14"/>
      <x:c r="U127" s="8"/>
    </x:row>
    <x:row r="128">
      <x:c r="A128" s="8" t="str">
        <x:f>IF(B128="","","WB-"&amp;TEXT(ROW()-1,"000"))</x:f>
      </x:c>
      <x:c r="B128" s="8"/>
      <x:c r="C128" s="8"/>
      <x:c r="D128" s="10"/>
      <x:c r="E128" s="8"/>
      <x:c r="F128" s="8"/>
      <x:c r="G128" s="8"/>
      <x:c r="H128" s="8"/>
      <x:c r="I128" s="8"/>
      <x:c r="J128" s="10"/>
      <x:c r="K128" s="10"/>
      <x:c r="L128" s="10" t="n">
        <x:f>IF(OR(D128="",K128=""),0,MAX(0,D128-K128))</x:f>
        <x:v>0</x:v>
      </x:c>
      <x:c r="M128" s="8"/>
      <x:c r="N128" s="12" t="n">
        <x:f>Rules!$F$2</x:f>
        <x:v>0.2</x:v>
      </x:c>
      <x:c r="O128" s="10" t="n">
        <x:f>IF(M128="Verified",L128*N128,0)</x:f>
        <x:v>0</x:v>
      </x:c>
      <x:c r="P128" s="10" t="n">
        <x:f>IF(M128="Verified",L128-O128,0)</x:f>
        <x:v>0</x:v>
      </x:c>
      <x:c r="Q128" s="14"/>
      <x:c r="R128" s="8"/>
      <x:c r="S128" s="8"/>
      <x:c r="T128" s="14"/>
      <x:c r="U128" s="8"/>
    </x:row>
    <x:row r="129">
      <x:c r="A129" s="8" t="str">
        <x:f>IF(B129="","","WB-"&amp;TEXT(ROW()-1,"000"))</x:f>
      </x:c>
      <x:c r="B129" s="8"/>
      <x:c r="C129" s="8"/>
      <x:c r="D129" s="10"/>
      <x:c r="E129" s="8"/>
      <x:c r="F129" s="8"/>
      <x:c r="G129" s="8"/>
      <x:c r="H129" s="8"/>
      <x:c r="I129" s="8"/>
      <x:c r="J129" s="10"/>
      <x:c r="K129" s="10"/>
      <x:c r="L129" s="10" t="n">
        <x:f>IF(OR(D129="",K129=""),0,MAX(0,D129-K129))</x:f>
        <x:v>0</x:v>
      </x:c>
      <x:c r="M129" s="8"/>
      <x:c r="N129" s="12" t="n">
        <x:f>Rules!$F$2</x:f>
        <x:v>0.2</x:v>
      </x:c>
      <x:c r="O129" s="10" t="n">
        <x:f>IF(M129="Verified",L129*N129,0)</x:f>
        <x:v>0</x:v>
      </x:c>
      <x:c r="P129" s="10" t="n">
        <x:f>IF(M129="Verified",L129-O129,0)</x:f>
        <x:v>0</x:v>
      </x:c>
      <x:c r="Q129" s="14"/>
      <x:c r="R129" s="8"/>
      <x:c r="S129" s="8"/>
      <x:c r="T129" s="14"/>
      <x:c r="U129" s="8"/>
    </x:row>
    <x:row r="130">
      <x:c r="A130" s="8" t="str">
        <x:f>IF(B130="","","WB-"&amp;TEXT(ROW()-1,"000"))</x:f>
      </x:c>
      <x:c r="B130" s="8"/>
      <x:c r="C130" s="8"/>
      <x:c r="D130" s="10"/>
      <x:c r="E130" s="8"/>
      <x:c r="F130" s="8"/>
      <x:c r="G130" s="8"/>
      <x:c r="H130" s="8"/>
      <x:c r="I130" s="8"/>
      <x:c r="J130" s="10"/>
      <x:c r="K130" s="10"/>
      <x:c r="L130" s="10" t="n">
        <x:f>IF(OR(D130="",K130=""),0,MAX(0,D130-K130))</x:f>
        <x:v>0</x:v>
      </x:c>
      <x:c r="M130" s="8"/>
      <x:c r="N130" s="12" t="n">
        <x:f>Rules!$F$2</x:f>
        <x:v>0.2</x:v>
      </x:c>
      <x:c r="O130" s="10" t="n">
        <x:f>IF(M130="Verified",L130*N130,0)</x:f>
        <x:v>0</x:v>
      </x:c>
      <x:c r="P130" s="10" t="n">
        <x:f>IF(M130="Verified",L130-O130,0)</x:f>
        <x:v>0</x:v>
      </x:c>
      <x:c r="Q130" s="14"/>
      <x:c r="R130" s="8"/>
      <x:c r="S130" s="8"/>
      <x:c r="T130" s="14"/>
      <x:c r="U130" s="8"/>
    </x:row>
    <x:row r="131">
      <x:c r="A131" s="8" t="str">
        <x:f>IF(B131="","","WB-"&amp;TEXT(ROW()-1,"000"))</x:f>
      </x:c>
      <x:c r="B131" s="8"/>
      <x:c r="C131" s="8"/>
      <x:c r="D131" s="10"/>
      <x:c r="E131" s="8"/>
      <x:c r="F131" s="8"/>
      <x:c r="G131" s="8"/>
      <x:c r="H131" s="8"/>
      <x:c r="I131" s="8"/>
      <x:c r="J131" s="10"/>
      <x:c r="K131" s="10"/>
      <x:c r="L131" s="10" t="n">
        <x:f>IF(OR(D131="",K131=""),0,MAX(0,D131-K131))</x:f>
        <x:v>0</x:v>
      </x:c>
      <x:c r="M131" s="8"/>
      <x:c r="N131" s="12" t="n">
        <x:f>Rules!$F$2</x:f>
        <x:v>0.2</x:v>
      </x:c>
      <x:c r="O131" s="10" t="n">
        <x:f>IF(M131="Verified",L131*N131,0)</x:f>
        <x:v>0</x:v>
      </x:c>
      <x:c r="P131" s="10" t="n">
        <x:f>IF(M131="Verified",L131-O131,0)</x:f>
        <x:v>0</x:v>
      </x:c>
      <x:c r="Q131" s="14"/>
      <x:c r="R131" s="8"/>
      <x:c r="S131" s="8"/>
      <x:c r="T131" s="14"/>
      <x:c r="U131" s="8"/>
    </x:row>
    <x:row r="132">
      <x:c r="A132" s="8" t="str">
        <x:f>IF(B132="","","WB-"&amp;TEXT(ROW()-1,"000"))</x:f>
      </x:c>
      <x:c r="B132" s="8"/>
      <x:c r="C132" s="8"/>
      <x:c r="D132" s="10"/>
      <x:c r="E132" s="8"/>
      <x:c r="F132" s="8"/>
      <x:c r="G132" s="8"/>
      <x:c r="H132" s="8"/>
      <x:c r="I132" s="8"/>
      <x:c r="J132" s="10"/>
      <x:c r="K132" s="10"/>
      <x:c r="L132" s="10" t="n">
        <x:f>IF(OR(D132="",K132=""),0,MAX(0,D132-K132))</x:f>
        <x:v>0</x:v>
      </x:c>
      <x:c r="M132" s="8"/>
      <x:c r="N132" s="12" t="n">
        <x:f>Rules!$F$2</x:f>
        <x:v>0.2</x:v>
      </x:c>
      <x:c r="O132" s="10" t="n">
        <x:f>IF(M132="Verified",L132*N132,0)</x:f>
        <x:v>0</x:v>
      </x:c>
      <x:c r="P132" s="10" t="n">
        <x:f>IF(M132="Verified",L132-O132,0)</x:f>
        <x:v>0</x:v>
      </x:c>
      <x:c r="Q132" s="14"/>
      <x:c r="R132" s="8"/>
      <x:c r="S132" s="8"/>
      <x:c r="T132" s="14"/>
      <x:c r="U132" s="8"/>
    </x:row>
    <x:row r="133">
      <x:c r="A133" s="8" t="str">
        <x:f>IF(B133="","","WB-"&amp;TEXT(ROW()-1,"000"))</x:f>
      </x:c>
      <x:c r="B133" s="8"/>
      <x:c r="C133" s="8"/>
      <x:c r="D133" s="10"/>
      <x:c r="E133" s="8"/>
      <x:c r="F133" s="8"/>
      <x:c r="G133" s="8"/>
      <x:c r="H133" s="8"/>
      <x:c r="I133" s="8"/>
      <x:c r="J133" s="10"/>
      <x:c r="K133" s="10"/>
      <x:c r="L133" s="10" t="n">
        <x:f>IF(OR(D133="",K133=""),0,MAX(0,D133-K133))</x:f>
        <x:v>0</x:v>
      </x:c>
      <x:c r="M133" s="8"/>
      <x:c r="N133" s="12" t="n">
        <x:f>Rules!$F$2</x:f>
        <x:v>0.2</x:v>
      </x:c>
      <x:c r="O133" s="10" t="n">
        <x:f>IF(M133="Verified",L133*N133,0)</x:f>
        <x:v>0</x:v>
      </x:c>
      <x:c r="P133" s="10" t="n">
        <x:f>IF(M133="Verified",L133-O133,0)</x:f>
        <x:v>0</x:v>
      </x:c>
      <x:c r="Q133" s="14"/>
      <x:c r="R133" s="8"/>
      <x:c r="S133" s="8"/>
      <x:c r="T133" s="14"/>
      <x:c r="U133" s="8"/>
    </x:row>
    <x:row r="134">
      <x:c r="A134" s="8" t="str">
        <x:f>IF(B134="","","WB-"&amp;TEXT(ROW()-1,"000"))</x:f>
      </x:c>
      <x:c r="B134" s="8"/>
      <x:c r="C134" s="8"/>
      <x:c r="D134" s="10"/>
      <x:c r="E134" s="8"/>
      <x:c r="F134" s="8"/>
      <x:c r="G134" s="8"/>
      <x:c r="H134" s="8"/>
      <x:c r="I134" s="8"/>
      <x:c r="J134" s="10"/>
      <x:c r="K134" s="10"/>
      <x:c r="L134" s="10" t="n">
        <x:f>IF(OR(D134="",K134=""),0,MAX(0,D134-K134))</x:f>
        <x:v>0</x:v>
      </x:c>
      <x:c r="M134" s="8"/>
      <x:c r="N134" s="12" t="n">
        <x:f>Rules!$F$2</x:f>
        <x:v>0.2</x:v>
      </x:c>
      <x:c r="O134" s="10" t="n">
        <x:f>IF(M134="Verified",L134*N134,0)</x:f>
        <x:v>0</x:v>
      </x:c>
      <x:c r="P134" s="10" t="n">
        <x:f>IF(M134="Verified",L134-O134,0)</x:f>
        <x:v>0</x:v>
      </x:c>
      <x:c r="Q134" s="14"/>
      <x:c r="R134" s="8"/>
      <x:c r="S134" s="8"/>
      <x:c r="T134" s="14"/>
      <x:c r="U134" s="8"/>
    </x:row>
    <x:row r="135">
      <x:c r="A135" s="8" t="str">
        <x:f>IF(B135="","","WB-"&amp;TEXT(ROW()-1,"000"))</x:f>
      </x:c>
      <x:c r="B135" s="8"/>
      <x:c r="C135" s="8"/>
      <x:c r="D135" s="10"/>
      <x:c r="E135" s="8"/>
      <x:c r="F135" s="8"/>
      <x:c r="G135" s="8"/>
      <x:c r="H135" s="8"/>
      <x:c r="I135" s="8"/>
      <x:c r="J135" s="10"/>
      <x:c r="K135" s="10"/>
      <x:c r="L135" s="10" t="n">
        <x:f>IF(OR(D135="",K135=""),0,MAX(0,D135-K135))</x:f>
        <x:v>0</x:v>
      </x:c>
      <x:c r="M135" s="8"/>
      <x:c r="N135" s="12" t="n">
        <x:f>Rules!$F$2</x:f>
        <x:v>0.2</x:v>
      </x:c>
      <x:c r="O135" s="10" t="n">
        <x:f>IF(M135="Verified",L135*N135,0)</x:f>
        <x:v>0</x:v>
      </x:c>
      <x:c r="P135" s="10" t="n">
        <x:f>IF(M135="Verified",L135-O135,0)</x:f>
        <x:v>0</x:v>
      </x:c>
      <x:c r="Q135" s="14"/>
      <x:c r="R135" s="8"/>
      <x:c r="S135" s="8"/>
      <x:c r="T135" s="14"/>
      <x:c r="U135" s="8"/>
    </x:row>
    <x:row r="136">
      <x:c r="A136" s="8" t="str">
        <x:f>IF(B136="","","WB-"&amp;TEXT(ROW()-1,"000"))</x:f>
      </x:c>
      <x:c r="B136" s="8"/>
      <x:c r="C136" s="8"/>
      <x:c r="D136" s="10"/>
      <x:c r="E136" s="8"/>
      <x:c r="F136" s="8"/>
      <x:c r="G136" s="8"/>
      <x:c r="H136" s="8"/>
      <x:c r="I136" s="8"/>
      <x:c r="J136" s="10"/>
      <x:c r="K136" s="10"/>
      <x:c r="L136" s="10" t="n">
        <x:f>IF(OR(D136="",K136=""),0,MAX(0,D136-K136))</x:f>
        <x:v>0</x:v>
      </x:c>
      <x:c r="M136" s="8"/>
      <x:c r="N136" s="12" t="n">
        <x:f>Rules!$F$2</x:f>
        <x:v>0.2</x:v>
      </x:c>
      <x:c r="O136" s="10" t="n">
        <x:f>IF(M136="Verified",L136*N136,0)</x:f>
        <x:v>0</x:v>
      </x:c>
      <x:c r="P136" s="10" t="n">
        <x:f>IF(M136="Verified",L136-O136,0)</x:f>
        <x:v>0</x:v>
      </x:c>
      <x:c r="Q136" s="14"/>
      <x:c r="R136" s="8"/>
      <x:c r="S136" s="8"/>
      <x:c r="T136" s="14"/>
      <x:c r="U136" s="8"/>
    </x:row>
    <x:row r="137">
      <x:c r="A137" s="8" t="str">
        <x:f>IF(B137="","","WB-"&amp;TEXT(ROW()-1,"000"))</x:f>
      </x:c>
      <x:c r="B137" s="8"/>
      <x:c r="C137" s="8"/>
      <x:c r="D137" s="10"/>
      <x:c r="E137" s="8"/>
      <x:c r="F137" s="8"/>
      <x:c r="G137" s="8"/>
      <x:c r="H137" s="8"/>
      <x:c r="I137" s="8"/>
      <x:c r="J137" s="10"/>
      <x:c r="K137" s="10"/>
      <x:c r="L137" s="10" t="n">
        <x:f>IF(OR(D137="",K137=""),0,MAX(0,D137-K137))</x:f>
        <x:v>0</x:v>
      </x:c>
      <x:c r="M137" s="8"/>
      <x:c r="N137" s="12" t="n">
        <x:f>Rules!$F$2</x:f>
        <x:v>0.2</x:v>
      </x:c>
      <x:c r="O137" s="10" t="n">
        <x:f>IF(M137="Verified",L137*N137,0)</x:f>
        <x:v>0</x:v>
      </x:c>
      <x:c r="P137" s="10" t="n">
        <x:f>IF(M137="Verified",L137-O137,0)</x:f>
        <x:v>0</x:v>
      </x:c>
      <x:c r="Q137" s="14"/>
      <x:c r="R137" s="8"/>
      <x:c r="S137" s="8"/>
      <x:c r="T137" s="14"/>
      <x:c r="U137" s="8"/>
    </x:row>
    <x:row r="138">
      <x:c r="A138" s="8" t="str">
        <x:f>IF(B138="","","WB-"&amp;TEXT(ROW()-1,"000"))</x:f>
      </x:c>
      <x:c r="B138" s="8"/>
      <x:c r="C138" s="8"/>
      <x:c r="D138" s="10"/>
      <x:c r="E138" s="8"/>
      <x:c r="F138" s="8"/>
      <x:c r="G138" s="8"/>
      <x:c r="H138" s="8"/>
      <x:c r="I138" s="8"/>
      <x:c r="J138" s="10"/>
      <x:c r="K138" s="10"/>
      <x:c r="L138" s="10" t="n">
        <x:f>IF(OR(D138="",K138=""),0,MAX(0,D138-K138))</x:f>
        <x:v>0</x:v>
      </x:c>
      <x:c r="M138" s="8"/>
      <x:c r="N138" s="12" t="n">
        <x:f>Rules!$F$2</x:f>
        <x:v>0.2</x:v>
      </x:c>
      <x:c r="O138" s="10" t="n">
        <x:f>IF(M138="Verified",L138*N138,0)</x:f>
        <x:v>0</x:v>
      </x:c>
      <x:c r="P138" s="10" t="n">
        <x:f>IF(M138="Verified",L138-O138,0)</x:f>
        <x:v>0</x:v>
      </x:c>
      <x:c r="Q138" s="14"/>
      <x:c r="R138" s="8"/>
      <x:c r="S138" s="8"/>
      <x:c r="T138" s="14"/>
      <x:c r="U138" s="8"/>
    </x:row>
    <x:row r="139">
      <x:c r="A139" s="8" t="str">
        <x:f>IF(B139="","","WB-"&amp;TEXT(ROW()-1,"000"))</x:f>
      </x:c>
      <x:c r="B139" s="8"/>
      <x:c r="C139" s="8"/>
      <x:c r="D139" s="10"/>
      <x:c r="E139" s="8"/>
      <x:c r="F139" s="8"/>
      <x:c r="G139" s="8"/>
      <x:c r="H139" s="8"/>
      <x:c r="I139" s="8"/>
      <x:c r="J139" s="10"/>
      <x:c r="K139" s="10"/>
      <x:c r="L139" s="10" t="n">
        <x:f>IF(OR(D139="",K139=""),0,MAX(0,D139-K139))</x:f>
        <x:v>0</x:v>
      </x:c>
      <x:c r="M139" s="8"/>
      <x:c r="N139" s="12" t="n">
        <x:f>Rules!$F$2</x:f>
        <x:v>0.2</x:v>
      </x:c>
      <x:c r="O139" s="10" t="n">
        <x:f>IF(M139="Verified",L139*N139,0)</x:f>
        <x:v>0</x:v>
      </x:c>
      <x:c r="P139" s="10" t="n">
        <x:f>IF(M139="Verified",L139-O139,0)</x:f>
        <x:v>0</x:v>
      </x:c>
      <x:c r="Q139" s="14"/>
      <x:c r="R139" s="8"/>
      <x:c r="S139" s="8"/>
      <x:c r="T139" s="14"/>
      <x:c r="U139" s="8"/>
    </x:row>
    <x:row r="140">
      <x:c r="A140" s="8" t="str">
        <x:f>IF(B140="","","WB-"&amp;TEXT(ROW()-1,"000"))</x:f>
      </x:c>
      <x:c r="B140" s="8"/>
      <x:c r="C140" s="8"/>
      <x:c r="D140" s="10"/>
      <x:c r="E140" s="8"/>
      <x:c r="F140" s="8"/>
      <x:c r="G140" s="8"/>
      <x:c r="H140" s="8"/>
      <x:c r="I140" s="8"/>
      <x:c r="J140" s="10"/>
      <x:c r="K140" s="10"/>
      <x:c r="L140" s="10" t="n">
        <x:f>IF(OR(D140="",K140=""),0,MAX(0,D140-K140))</x:f>
        <x:v>0</x:v>
      </x:c>
      <x:c r="M140" s="8"/>
      <x:c r="N140" s="12" t="n">
        <x:f>Rules!$F$2</x:f>
        <x:v>0.2</x:v>
      </x:c>
      <x:c r="O140" s="10" t="n">
        <x:f>IF(M140="Verified",L140*N140,0)</x:f>
        <x:v>0</x:v>
      </x:c>
      <x:c r="P140" s="10" t="n">
        <x:f>IF(M140="Verified",L140-O140,0)</x:f>
        <x:v>0</x:v>
      </x:c>
      <x:c r="Q140" s="14"/>
      <x:c r="R140" s="8"/>
      <x:c r="S140" s="8"/>
      <x:c r="T140" s="14"/>
      <x:c r="U140" s="8"/>
    </x:row>
    <x:row r="141">
      <x:c r="A141" s="8" t="str">
        <x:f>IF(B141="","","WB-"&amp;TEXT(ROW()-1,"000"))</x:f>
      </x:c>
      <x:c r="B141" s="8"/>
      <x:c r="C141" s="8"/>
      <x:c r="D141" s="10"/>
      <x:c r="E141" s="8"/>
      <x:c r="F141" s="8"/>
      <x:c r="G141" s="8"/>
      <x:c r="H141" s="8"/>
      <x:c r="I141" s="8"/>
      <x:c r="J141" s="10"/>
      <x:c r="K141" s="10"/>
      <x:c r="L141" s="10" t="n">
        <x:f>IF(OR(D141="",K141=""),0,MAX(0,D141-K141))</x:f>
        <x:v>0</x:v>
      </x:c>
      <x:c r="M141" s="8"/>
      <x:c r="N141" s="12" t="n">
        <x:f>Rules!$F$2</x:f>
        <x:v>0.2</x:v>
      </x:c>
      <x:c r="O141" s="10" t="n">
        <x:f>IF(M141="Verified",L141*N141,0)</x:f>
        <x:v>0</x:v>
      </x:c>
      <x:c r="P141" s="10" t="n">
        <x:f>IF(M141="Verified",L141-O141,0)</x:f>
        <x:v>0</x:v>
      </x:c>
      <x:c r="Q141" s="14"/>
      <x:c r="R141" s="8"/>
      <x:c r="S141" s="8"/>
      <x:c r="T141" s="14"/>
      <x:c r="U141" s="8"/>
    </x:row>
    <x:row r="142">
      <x:c r="A142" s="8" t="str">
        <x:f>IF(B142="","","WB-"&amp;TEXT(ROW()-1,"000"))</x:f>
      </x:c>
      <x:c r="B142" s="8"/>
      <x:c r="C142" s="8"/>
      <x:c r="D142" s="10"/>
      <x:c r="E142" s="8"/>
      <x:c r="F142" s="8"/>
      <x:c r="G142" s="8"/>
      <x:c r="H142" s="8"/>
      <x:c r="I142" s="8"/>
      <x:c r="J142" s="10"/>
      <x:c r="K142" s="10"/>
      <x:c r="L142" s="10" t="n">
        <x:f>IF(OR(D142="",K142=""),0,MAX(0,D142-K142))</x:f>
        <x:v>0</x:v>
      </x:c>
      <x:c r="M142" s="8"/>
      <x:c r="N142" s="12" t="n">
        <x:f>Rules!$F$2</x:f>
        <x:v>0.2</x:v>
      </x:c>
      <x:c r="O142" s="10" t="n">
        <x:f>IF(M142="Verified",L142*N142,0)</x:f>
        <x:v>0</x:v>
      </x:c>
      <x:c r="P142" s="10" t="n">
        <x:f>IF(M142="Verified",L142-O142,0)</x:f>
        <x:v>0</x:v>
      </x:c>
      <x:c r="Q142" s="14"/>
      <x:c r="R142" s="8"/>
      <x:c r="S142" s="8"/>
      <x:c r="T142" s="14"/>
      <x:c r="U142" s="8"/>
    </x:row>
    <x:row r="143">
      <x:c r="A143" s="8" t="str">
        <x:f>IF(B143="","","WB-"&amp;TEXT(ROW()-1,"000"))</x:f>
      </x:c>
      <x:c r="B143" s="8"/>
      <x:c r="C143" s="8"/>
      <x:c r="D143" s="10"/>
      <x:c r="E143" s="8"/>
      <x:c r="F143" s="8"/>
      <x:c r="G143" s="8"/>
      <x:c r="H143" s="8"/>
      <x:c r="I143" s="8"/>
      <x:c r="J143" s="10"/>
      <x:c r="K143" s="10"/>
      <x:c r="L143" s="10" t="n">
        <x:f>IF(OR(D143="",K143=""),0,MAX(0,D143-K143))</x:f>
        <x:v>0</x:v>
      </x:c>
      <x:c r="M143" s="8"/>
      <x:c r="N143" s="12" t="n">
        <x:f>Rules!$F$2</x:f>
        <x:v>0.2</x:v>
      </x:c>
      <x:c r="O143" s="10" t="n">
        <x:f>IF(M143="Verified",L143*N143,0)</x:f>
        <x:v>0</x:v>
      </x:c>
      <x:c r="P143" s="10" t="n">
        <x:f>IF(M143="Verified",L143-O143,0)</x:f>
        <x:v>0</x:v>
      </x:c>
      <x:c r="Q143" s="14"/>
      <x:c r="R143" s="8"/>
      <x:c r="S143" s="8"/>
      <x:c r="T143" s="14"/>
      <x:c r="U143" s="8"/>
    </x:row>
    <x:row r="144">
      <x:c r="A144" s="8" t="str">
        <x:f>IF(B144="","","WB-"&amp;TEXT(ROW()-1,"000"))</x:f>
      </x:c>
      <x:c r="B144" s="8"/>
      <x:c r="C144" s="8"/>
      <x:c r="D144" s="10"/>
      <x:c r="E144" s="8"/>
      <x:c r="F144" s="8"/>
      <x:c r="G144" s="8"/>
      <x:c r="H144" s="8"/>
      <x:c r="I144" s="8"/>
      <x:c r="J144" s="10"/>
      <x:c r="K144" s="10"/>
      <x:c r="L144" s="10" t="n">
        <x:f>IF(OR(D144="",K144=""),0,MAX(0,D144-K144))</x:f>
        <x:v>0</x:v>
      </x:c>
      <x:c r="M144" s="8"/>
      <x:c r="N144" s="12" t="n">
        <x:f>Rules!$F$2</x:f>
        <x:v>0.2</x:v>
      </x:c>
      <x:c r="O144" s="10" t="n">
        <x:f>IF(M144="Verified",L144*N144,0)</x:f>
        <x:v>0</x:v>
      </x:c>
      <x:c r="P144" s="10" t="n">
        <x:f>IF(M144="Verified",L144-O144,0)</x:f>
        <x:v>0</x:v>
      </x:c>
      <x:c r="Q144" s="14"/>
      <x:c r="R144" s="8"/>
      <x:c r="S144" s="8"/>
      <x:c r="T144" s="14"/>
      <x:c r="U144" s="8"/>
    </x:row>
    <x:row r="145">
      <x:c r="A145" s="8" t="str">
        <x:f>IF(B145="","","WB-"&amp;TEXT(ROW()-1,"000"))</x:f>
      </x:c>
      <x:c r="B145" s="8"/>
      <x:c r="C145" s="8"/>
      <x:c r="D145" s="10"/>
      <x:c r="E145" s="8"/>
      <x:c r="F145" s="8"/>
      <x:c r="G145" s="8"/>
      <x:c r="H145" s="8"/>
      <x:c r="I145" s="8"/>
      <x:c r="J145" s="10"/>
      <x:c r="K145" s="10"/>
      <x:c r="L145" s="10" t="n">
        <x:f>IF(OR(D145="",K145=""),0,MAX(0,D145-K145))</x:f>
        <x:v>0</x:v>
      </x:c>
      <x:c r="M145" s="8"/>
      <x:c r="N145" s="12" t="n">
        <x:f>Rules!$F$2</x:f>
        <x:v>0.2</x:v>
      </x:c>
      <x:c r="O145" s="10" t="n">
        <x:f>IF(M145="Verified",L145*N145,0)</x:f>
        <x:v>0</x:v>
      </x:c>
      <x:c r="P145" s="10" t="n">
        <x:f>IF(M145="Verified",L145-O145,0)</x:f>
        <x:v>0</x:v>
      </x:c>
      <x:c r="Q145" s="14"/>
      <x:c r="R145" s="8"/>
      <x:c r="S145" s="8"/>
      <x:c r="T145" s="14"/>
      <x:c r="U145" s="8"/>
    </x:row>
    <x:row r="146">
      <x:c r="A146" s="8" t="str">
        <x:f>IF(B146="","","WB-"&amp;TEXT(ROW()-1,"000"))</x:f>
      </x:c>
      <x:c r="B146" s="8"/>
      <x:c r="C146" s="8"/>
      <x:c r="D146" s="10"/>
      <x:c r="E146" s="8"/>
      <x:c r="F146" s="8"/>
      <x:c r="G146" s="8"/>
      <x:c r="H146" s="8"/>
      <x:c r="I146" s="8"/>
      <x:c r="J146" s="10"/>
      <x:c r="K146" s="10"/>
      <x:c r="L146" s="10" t="n">
        <x:f>IF(OR(D146="",K146=""),0,MAX(0,D146-K146))</x:f>
        <x:v>0</x:v>
      </x:c>
      <x:c r="M146" s="8"/>
      <x:c r="N146" s="12" t="n">
        <x:f>Rules!$F$2</x:f>
        <x:v>0.2</x:v>
      </x:c>
      <x:c r="O146" s="10" t="n">
        <x:f>IF(M146="Verified",L146*N146,0)</x:f>
        <x:v>0</x:v>
      </x:c>
      <x:c r="P146" s="10" t="n">
        <x:f>IF(M146="Verified",L146-O146,0)</x:f>
        <x:v>0</x:v>
      </x:c>
      <x:c r="Q146" s="14"/>
      <x:c r="R146" s="8"/>
      <x:c r="S146" s="8"/>
      <x:c r="T146" s="14"/>
      <x:c r="U146" s="8"/>
    </x:row>
    <x:row r="147">
      <x:c r="A147" s="8" t="str">
        <x:f>IF(B147="","","WB-"&amp;TEXT(ROW()-1,"000"))</x:f>
      </x:c>
      <x:c r="B147" s="8"/>
      <x:c r="C147" s="8"/>
      <x:c r="D147" s="10"/>
      <x:c r="E147" s="8"/>
      <x:c r="F147" s="8"/>
      <x:c r="G147" s="8"/>
      <x:c r="H147" s="8"/>
      <x:c r="I147" s="8"/>
      <x:c r="J147" s="10"/>
      <x:c r="K147" s="10"/>
      <x:c r="L147" s="10" t="n">
        <x:f>IF(OR(D147="",K147=""),0,MAX(0,D147-K147))</x:f>
        <x:v>0</x:v>
      </x:c>
      <x:c r="M147" s="8"/>
      <x:c r="N147" s="12" t="n">
        <x:f>Rules!$F$2</x:f>
        <x:v>0.2</x:v>
      </x:c>
      <x:c r="O147" s="10" t="n">
        <x:f>IF(M147="Verified",L147*N147,0)</x:f>
        <x:v>0</x:v>
      </x:c>
      <x:c r="P147" s="10" t="n">
        <x:f>IF(M147="Verified",L147-O147,0)</x:f>
        <x:v>0</x:v>
      </x:c>
      <x:c r="Q147" s="14"/>
      <x:c r="R147" s="8"/>
      <x:c r="S147" s="8"/>
      <x:c r="T147" s="14"/>
      <x:c r="U147" s="8"/>
    </x:row>
    <x:row r="148">
      <x:c r="A148" s="8" t="str">
        <x:f>IF(B148="","","WB-"&amp;TEXT(ROW()-1,"000"))</x:f>
      </x:c>
      <x:c r="B148" s="8"/>
      <x:c r="C148" s="8"/>
      <x:c r="D148" s="10"/>
      <x:c r="E148" s="8"/>
      <x:c r="F148" s="8"/>
      <x:c r="G148" s="8"/>
      <x:c r="H148" s="8"/>
      <x:c r="I148" s="8"/>
      <x:c r="J148" s="10"/>
      <x:c r="K148" s="10"/>
      <x:c r="L148" s="10" t="n">
        <x:f>IF(OR(D148="",K148=""),0,MAX(0,D148-K148))</x:f>
        <x:v>0</x:v>
      </x:c>
      <x:c r="M148" s="8"/>
      <x:c r="N148" s="12" t="n">
        <x:f>Rules!$F$2</x:f>
        <x:v>0.2</x:v>
      </x:c>
      <x:c r="O148" s="10" t="n">
        <x:f>IF(M148="Verified",L148*N148,0)</x:f>
        <x:v>0</x:v>
      </x:c>
      <x:c r="P148" s="10" t="n">
        <x:f>IF(M148="Verified",L148-O148,0)</x:f>
        <x:v>0</x:v>
      </x:c>
      <x:c r="Q148" s="14"/>
      <x:c r="R148" s="8"/>
      <x:c r="S148" s="8"/>
      <x:c r="T148" s="14"/>
      <x:c r="U148" s="8"/>
    </x:row>
    <x:row r="149">
      <x:c r="A149" s="8" t="str">
        <x:f>IF(B149="","","WB-"&amp;TEXT(ROW()-1,"000"))</x:f>
      </x:c>
      <x:c r="B149" s="8"/>
      <x:c r="C149" s="8"/>
      <x:c r="D149" s="10"/>
      <x:c r="E149" s="8"/>
      <x:c r="F149" s="8"/>
      <x:c r="G149" s="8"/>
      <x:c r="H149" s="8"/>
      <x:c r="I149" s="8"/>
      <x:c r="J149" s="10"/>
      <x:c r="K149" s="10"/>
      <x:c r="L149" s="10" t="n">
        <x:f>IF(OR(D149="",K149=""),0,MAX(0,D149-K149))</x:f>
        <x:v>0</x:v>
      </x:c>
      <x:c r="M149" s="8"/>
      <x:c r="N149" s="12" t="n">
        <x:f>Rules!$F$2</x:f>
        <x:v>0.2</x:v>
      </x:c>
      <x:c r="O149" s="10" t="n">
        <x:f>IF(M149="Verified",L149*N149,0)</x:f>
        <x:v>0</x:v>
      </x:c>
      <x:c r="P149" s="10" t="n">
        <x:f>IF(M149="Verified",L149-O149,0)</x:f>
        <x:v>0</x:v>
      </x:c>
      <x:c r="Q149" s="14"/>
      <x:c r="R149" s="8"/>
      <x:c r="S149" s="8"/>
      <x:c r="T149" s="14"/>
      <x:c r="U149" s="8"/>
    </x:row>
    <x:row r="150">
      <x:c r="A150" s="8" t="str">
        <x:f>IF(B150="","","WB-"&amp;TEXT(ROW()-1,"000"))</x:f>
      </x:c>
      <x:c r="B150" s="8"/>
      <x:c r="C150" s="8"/>
      <x:c r="D150" s="10"/>
      <x:c r="E150" s="8"/>
      <x:c r="F150" s="8"/>
      <x:c r="G150" s="8"/>
      <x:c r="H150" s="8"/>
      <x:c r="I150" s="8"/>
      <x:c r="J150" s="10"/>
      <x:c r="K150" s="10"/>
      <x:c r="L150" s="10" t="n">
        <x:f>IF(OR(D150="",K150=""),0,MAX(0,D150-K150))</x:f>
        <x:v>0</x:v>
      </x:c>
      <x:c r="M150" s="8"/>
      <x:c r="N150" s="12" t="n">
        <x:f>Rules!$F$2</x:f>
        <x:v>0.2</x:v>
      </x:c>
      <x:c r="O150" s="10" t="n">
        <x:f>IF(M150="Verified",L150*N150,0)</x:f>
        <x:v>0</x:v>
      </x:c>
      <x:c r="P150" s="10" t="n">
        <x:f>IF(M150="Verified",L150-O150,0)</x:f>
        <x:v>0</x:v>
      </x:c>
      <x:c r="Q150" s="14"/>
      <x:c r="R150" s="8"/>
      <x:c r="S150" s="8"/>
      <x:c r="T150" s="14"/>
      <x:c r="U150" s="8"/>
    </x:row>
    <x:row r="151">
      <x:c r="A151" s="8" t="str">
        <x:f>IF(B151="","","WB-"&amp;TEXT(ROW()-1,"000"))</x:f>
      </x:c>
      <x:c r="B151" s="8"/>
      <x:c r="C151" s="8"/>
      <x:c r="D151" s="10"/>
      <x:c r="E151" s="8"/>
      <x:c r="F151" s="8"/>
      <x:c r="G151" s="8"/>
      <x:c r="H151" s="8"/>
      <x:c r="I151" s="8"/>
      <x:c r="J151" s="10"/>
      <x:c r="K151" s="10"/>
      <x:c r="L151" s="10" t="n">
        <x:f>IF(OR(D151="",K151=""),0,MAX(0,D151-K151))</x:f>
        <x:v>0</x:v>
      </x:c>
      <x:c r="M151" s="8"/>
      <x:c r="N151" s="12" t="n">
        <x:f>Rules!$F$2</x:f>
        <x:v>0.2</x:v>
      </x:c>
      <x:c r="O151" s="10" t="n">
        <x:f>IF(M151="Verified",L151*N151,0)</x:f>
        <x:v>0</x:v>
      </x:c>
      <x:c r="P151" s="10" t="n">
        <x:f>IF(M151="Verified",L151-O151,0)</x:f>
        <x:v>0</x:v>
      </x:c>
      <x:c r="Q151" s="14"/>
      <x:c r="R151" s="8"/>
      <x:c r="S151" s="8"/>
      <x:c r="T151" s="14"/>
      <x:c r="U151" s="8"/>
    </x:row>
    <x:row r="152">
      <x:c r="A152" s="8" t="str">
        <x:f>IF(B152="","","WB-"&amp;TEXT(ROW()-1,"000"))</x:f>
      </x:c>
      <x:c r="B152" s="8"/>
      <x:c r="C152" s="8"/>
      <x:c r="D152" s="10"/>
      <x:c r="E152" s="8"/>
      <x:c r="F152" s="8"/>
      <x:c r="G152" s="8"/>
      <x:c r="H152" s="8"/>
      <x:c r="I152" s="8"/>
      <x:c r="J152" s="10"/>
      <x:c r="K152" s="10"/>
      <x:c r="L152" s="10" t="n">
        <x:f>IF(OR(D152="",K152=""),0,MAX(0,D152-K152))</x:f>
        <x:v>0</x:v>
      </x:c>
      <x:c r="M152" s="8"/>
      <x:c r="N152" s="12" t="n">
        <x:f>Rules!$F$2</x:f>
        <x:v>0.2</x:v>
      </x:c>
      <x:c r="O152" s="10" t="n">
        <x:f>IF(M152="Verified",L152*N152,0)</x:f>
        <x:v>0</x:v>
      </x:c>
      <x:c r="P152" s="10" t="n">
        <x:f>IF(M152="Verified",L152-O152,0)</x:f>
        <x:v>0</x:v>
      </x:c>
      <x:c r="Q152" s="14"/>
      <x:c r="R152" s="8"/>
      <x:c r="S152" s="8"/>
      <x:c r="T152" s="14"/>
      <x:c r="U152" s="8"/>
    </x:row>
    <x:row r="153">
      <x:c r="A153" s="8" t="str">
        <x:f>IF(B153="","","WB-"&amp;TEXT(ROW()-1,"000"))</x:f>
      </x:c>
      <x:c r="B153" s="8"/>
      <x:c r="C153" s="8"/>
      <x:c r="D153" s="10"/>
      <x:c r="E153" s="8"/>
      <x:c r="F153" s="8"/>
      <x:c r="G153" s="8"/>
      <x:c r="H153" s="8"/>
      <x:c r="I153" s="8"/>
      <x:c r="J153" s="10"/>
      <x:c r="K153" s="10"/>
      <x:c r="L153" s="10" t="n">
        <x:f>IF(OR(D153="",K153=""),0,MAX(0,D153-K153))</x:f>
        <x:v>0</x:v>
      </x:c>
      <x:c r="M153" s="8"/>
      <x:c r="N153" s="12" t="n">
        <x:f>Rules!$F$2</x:f>
        <x:v>0.2</x:v>
      </x:c>
      <x:c r="O153" s="10" t="n">
        <x:f>IF(M153="Verified",L153*N153,0)</x:f>
        <x:v>0</x:v>
      </x:c>
      <x:c r="P153" s="10" t="n">
        <x:f>IF(M153="Verified",L153-O153,0)</x:f>
        <x:v>0</x:v>
      </x:c>
      <x:c r="Q153" s="14"/>
      <x:c r="R153" s="8"/>
      <x:c r="S153" s="8"/>
      <x:c r="T153" s="14"/>
      <x:c r="U153" s="8"/>
    </x:row>
    <x:row r="154">
      <x:c r="A154" s="8" t="str">
        <x:f>IF(B154="","","WB-"&amp;TEXT(ROW()-1,"000"))</x:f>
      </x:c>
      <x:c r="B154" s="8"/>
      <x:c r="C154" s="8"/>
      <x:c r="D154" s="10"/>
      <x:c r="E154" s="8"/>
      <x:c r="F154" s="8"/>
      <x:c r="G154" s="8"/>
      <x:c r="H154" s="8"/>
      <x:c r="I154" s="8"/>
      <x:c r="J154" s="10"/>
      <x:c r="K154" s="10"/>
      <x:c r="L154" s="10" t="n">
        <x:f>IF(OR(D154="",K154=""),0,MAX(0,D154-K154))</x:f>
        <x:v>0</x:v>
      </x:c>
      <x:c r="M154" s="8"/>
      <x:c r="N154" s="12" t="n">
        <x:f>Rules!$F$2</x:f>
        <x:v>0.2</x:v>
      </x:c>
      <x:c r="O154" s="10" t="n">
        <x:f>IF(M154="Verified",L154*N154,0)</x:f>
        <x:v>0</x:v>
      </x:c>
      <x:c r="P154" s="10" t="n">
        <x:f>IF(M154="Verified",L154-O154,0)</x:f>
        <x:v>0</x:v>
      </x:c>
      <x:c r="Q154" s="14"/>
      <x:c r="R154" s="8"/>
      <x:c r="S154" s="8"/>
      <x:c r="T154" s="14"/>
      <x:c r="U154" s="8"/>
    </x:row>
    <x:row r="155">
      <x:c r="A155" s="8" t="str">
        <x:f>IF(B155="","","WB-"&amp;TEXT(ROW()-1,"000"))</x:f>
      </x:c>
      <x:c r="B155" s="8"/>
      <x:c r="C155" s="8"/>
      <x:c r="D155" s="10"/>
      <x:c r="E155" s="8"/>
      <x:c r="F155" s="8"/>
      <x:c r="G155" s="8"/>
      <x:c r="H155" s="8"/>
      <x:c r="I155" s="8"/>
      <x:c r="J155" s="10"/>
      <x:c r="K155" s="10"/>
      <x:c r="L155" s="10" t="n">
        <x:f>IF(OR(D155="",K155=""),0,MAX(0,D155-K155))</x:f>
        <x:v>0</x:v>
      </x:c>
      <x:c r="M155" s="8"/>
      <x:c r="N155" s="12" t="n">
        <x:f>Rules!$F$2</x:f>
        <x:v>0.2</x:v>
      </x:c>
      <x:c r="O155" s="10" t="n">
        <x:f>IF(M155="Verified",L155*N155,0)</x:f>
        <x:v>0</x:v>
      </x:c>
      <x:c r="P155" s="10" t="n">
        <x:f>IF(M155="Verified",L155-O155,0)</x:f>
        <x:v>0</x:v>
      </x:c>
      <x:c r="Q155" s="14"/>
      <x:c r="R155" s="8"/>
      <x:c r="S155" s="8"/>
      <x:c r="T155" s="14"/>
      <x:c r="U155" s="8"/>
    </x:row>
    <x:row r="156">
      <x:c r="A156" s="8" t="str">
        <x:f>IF(B156="","","WB-"&amp;TEXT(ROW()-1,"000"))</x:f>
      </x:c>
      <x:c r="B156" s="8"/>
      <x:c r="C156" s="8"/>
      <x:c r="D156" s="10"/>
      <x:c r="E156" s="8"/>
      <x:c r="F156" s="8"/>
      <x:c r="G156" s="8"/>
      <x:c r="H156" s="8"/>
      <x:c r="I156" s="8"/>
      <x:c r="J156" s="10"/>
      <x:c r="K156" s="10"/>
      <x:c r="L156" s="10" t="n">
        <x:f>IF(OR(D156="",K156=""),0,MAX(0,D156-K156))</x:f>
        <x:v>0</x:v>
      </x:c>
      <x:c r="M156" s="8"/>
      <x:c r="N156" s="12" t="n">
        <x:f>Rules!$F$2</x:f>
        <x:v>0.2</x:v>
      </x:c>
      <x:c r="O156" s="10" t="n">
        <x:f>IF(M156="Verified",L156*N156,0)</x:f>
        <x:v>0</x:v>
      </x:c>
      <x:c r="P156" s="10" t="n">
        <x:f>IF(M156="Verified",L156-O156,0)</x:f>
        <x:v>0</x:v>
      </x:c>
      <x:c r="Q156" s="14"/>
      <x:c r="R156" s="8"/>
      <x:c r="S156" s="8"/>
      <x:c r="T156" s="14"/>
      <x:c r="U156" s="8"/>
    </x:row>
    <x:row r="157">
      <x:c r="A157" s="8" t="str">
        <x:f>IF(B157="","","WB-"&amp;TEXT(ROW()-1,"000"))</x:f>
      </x:c>
      <x:c r="B157" s="8"/>
      <x:c r="C157" s="8"/>
      <x:c r="D157" s="10"/>
      <x:c r="E157" s="8"/>
      <x:c r="F157" s="8"/>
      <x:c r="G157" s="8"/>
      <x:c r="H157" s="8"/>
      <x:c r="I157" s="8"/>
      <x:c r="J157" s="10"/>
      <x:c r="K157" s="10"/>
      <x:c r="L157" s="10" t="n">
        <x:f>IF(OR(D157="",K157=""),0,MAX(0,D157-K157))</x:f>
        <x:v>0</x:v>
      </x:c>
      <x:c r="M157" s="8"/>
      <x:c r="N157" s="12" t="n">
        <x:f>Rules!$F$2</x:f>
        <x:v>0.2</x:v>
      </x:c>
      <x:c r="O157" s="10" t="n">
        <x:f>IF(M157="Verified",L157*N157,0)</x:f>
        <x:v>0</x:v>
      </x:c>
      <x:c r="P157" s="10" t="n">
        <x:f>IF(M157="Verified",L157-O157,0)</x:f>
        <x:v>0</x:v>
      </x:c>
      <x:c r="Q157" s="14"/>
      <x:c r="R157" s="8"/>
      <x:c r="S157" s="8"/>
      <x:c r="T157" s="14"/>
      <x:c r="U157" s="8"/>
    </x:row>
    <x:row r="158">
      <x:c r="A158" s="8" t="str">
        <x:f>IF(B158="","","WB-"&amp;TEXT(ROW()-1,"000"))</x:f>
      </x:c>
      <x:c r="B158" s="8"/>
      <x:c r="C158" s="8"/>
      <x:c r="D158" s="10"/>
      <x:c r="E158" s="8"/>
      <x:c r="F158" s="8"/>
      <x:c r="G158" s="8"/>
      <x:c r="H158" s="8"/>
      <x:c r="I158" s="8"/>
      <x:c r="J158" s="10"/>
      <x:c r="K158" s="10"/>
      <x:c r="L158" s="10" t="n">
        <x:f>IF(OR(D158="",K158=""),0,MAX(0,D158-K158))</x:f>
        <x:v>0</x:v>
      </x:c>
      <x:c r="M158" s="8"/>
      <x:c r="N158" s="12" t="n">
        <x:f>Rules!$F$2</x:f>
        <x:v>0.2</x:v>
      </x:c>
      <x:c r="O158" s="10" t="n">
        <x:f>IF(M158="Verified",L158*N158,0)</x:f>
        <x:v>0</x:v>
      </x:c>
      <x:c r="P158" s="10" t="n">
        <x:f>IF(M158="Verified",L158-O158,0)</x:f>
        <x:v>0</x:v>
      </x:c>
      <x:c r="Q158" s="14"/>
      <x:c r="R158" s="8"/>
      <x:c r="S158" s="8"/>
      <x:c r="T158" s="14"/>
      <x:c r="U158" s="8"/>
    </x:row>
    <x:row r="159">
      <x:c r="A159" s="8" t="str">
        <x:f>IF(B159="","","WB-"&amp;TEXT(ROW()-1,"000"))</x:f>
      </x:c>
      <x:c r="B159" s="8"/>
      <x:c r="C159" s="8"/>
      <x:c r="D159" s="10"/>
      <x:c r="E159" s="8"/>
      <x:c r="F159" s="8"/>
      <x:c r="G159" s="8"/>
      <x:c r="H159" s="8"/>
      <x:c r="I159" s="8"/>
      <x:c r="J159" s="10"/>
      <x:c r="K159" s="10"/>
      <x:c r="L159" s="10" t="n">
        <x:f>IF(OR(D159="",K159=""),0,MAX(0,D159-K159))</x:f>
        <x:v>0</x:v>
      </x:c>
      <x:c r="M159" s="8"/>
      <x:c r="N159" s="12" t="n">
        <x:f>Rules!$F$2</x:f>
        <x:v>0.2</x:v>
      </x:c>
      <x:c r="O159" s="10" t="n">
        <x:f>IF(M159="Verified",L159*N159,0)</x:f>
        <x:v>0</x:v>
      </x:c>
      <x:c r="P159" s="10" t="n">
        <x:f>IF(M159="Verified",L159-O159,0)</x:f>
        <x:v>0</x:v>
      </x:c>
      <x:c r="Q159" s="14"/>
      <x:c r="R159" s="8"/>
      <x:c r="S159" s="8"/>
      <x:c r="T159" s="14"/>
      <x:c r="U159" s="8"/>
    </x:row>
    <x:row r="160">
      <x:c r="A160" s="8" t="str">
        <x:f>IF(B160="","","WB-"&amp;TEXT(ROW()-1,"000"))</x:f>
      </x:c>
      <x:c r="B160" s="8"/>
      <x:c r="C160" s="8"/>
      <x:c r="D160" s="10"/>
      <x:c r="E160" s="8"/>
      <x:c r="F160" s="8"/>
      <x:c r="G160" s="8"/>
      <x:c r="H160" s="8"/>
      <x:c r="I160" s="8"/>
      <x:c r="J160" s="10"/>
      <x:c r="K160" s="10"/>
      <x:c r="L160" s="10" t="n">
        <x:f>IF(OR(D160="",K160=""),0,MAX(0,D160-K160))</x:f>
        <x:v>0</x:v>
      </x:c>
      <x:c r="M160" s="8"/>
      <x:c r="N160" s="12" t="n">
        <x:f>Rules!$F$2</x:f>
        <x:v>0.2</x:v>
      </x:c>
      <x:c r="O160" s="10" t="n">
        <x:f>IF(M160="Verified",L160*N160,0)</x:f>
        <x:v>0</x:v>
      </x:c>
      <x:c r="P160" s="10" t="n">
        <x:f>IF(M160="Verified",L160-O160,0)</x:f>
        <x:v>0</x:v>
      </x:c>
      <x:c r="Q160" s="14"/>
      <x:c r="R160" s="8"/>
      <x:c r="S160" s="8"/>
      <x:c r="T160" s="14"/>
      <x:c r="U160" s="8"/>
    </x:row>
    <x:row r="161">
      <x:c r="A161" s="8" t="str">
        <x:f>IF(B161="","","WB-"&amp;TEXT(ROW()-1,"000"))</x:f>
      </x:c>
      <x:c r="B161" s="8"/>
      <x:c r="C161" s="8"/>
      <x:c r="D161" s="10"/>
      <x:c r="E161" s="8"/>
      <x:c r="F161" s="8"/>
      <x:c r="G161" s="8"/>
      <x:c r="H161" s="8"/>
      <x:c r="I161" s="8"/>
      <x:c r="J161" s="10"/>
      <x:c r="K161" s="10"/>
      <x:c r="L161" s="10" t="n">
        <x:f>IF(OR(D161="",K161=""),0,MAX(0,D161-K161))</x:f>
        <x:v>0</x:v>
      </x:c>
      <x:c r="M161" s="8"/>
      <x:c r="N161" s="12" t="n">
        <x:f>Rules!$F$2</x:f>
        <x:v>0.2</x:v>
      </x:c>
      <x:c r="O161" s="10" t="n">
        <x:f>IF(M161="Verified",L161*N161,0)</x:f>
        <x:v>0</x:v>
      </x:c>
      <x:c r="P161" s="10" t="n">
        <x:f>IF(M161="Verified",L161-O161,0)</x:f>
        <x:v>0</x:v>
      </x:c>
      <x:c r="Q161" s="14"/>
      <x:c r="R161" s="8"/>
      <x:c r="S161" s="8"/>
      <x:c r="T161" s="14"/>
      <x:c r="U161" s="8"/>
    </x:row>
    <x:row r="162">
      <x:c r="A162" s="8" t="str">
        <x:f>IF(B162="","","WB-"&amp;TEXT(ROW()-1,"000"))</x:f>
      </x:c>
      <x:c r="B162" s="8"/>
      <x:c r="C162" s="8"/>
      <x:c r="D162" s="10"/>
      <x:c r="E162" s="8"/>
      <x:c r="F162" s="8"/>
      <x:c r="G162" s="8"/>
      <x:c r="H162" s="8"/>
      <x:c r="I162" s="8"/>
      <x:c r="J162" s="10"/>
      <x:c r="K162" s="10"/>
      <x:c r="L162" s="10" t="n">
        <x:f>IF(OR(D162="",K162=""),0,MAX(0,D162-K162))</x:f>
        <x:v>0</x:v>
      </x:c>
      <x:c r="M162" s="8"/>
      <x:c r="N162" s="12" t="n">
        <x:f>Rules!$F$2</x:f>
        <x:v>0.2</x:v>
      </x:c>
      <x:c r="O162" s="10" t="n">
        <x:f>IF(M162="Verified",L162*N162,0)</x:f>
        <x:v>0</x:v>
      </x:c>
      <x:c r="P162" s="10" t="n">
        <x:f>IF(M162="Verified",L162-O162,0)</x:f>
        <x:v>0</x:v>
      </x:c>
      <x:c r="Q162" s="14"/>
      <x:c r="R162" s="8"/>
      <x:c r="S162" s="8"/>
      <x:c r="T162" s="14"/>
      <x:c r="U162" s="8"/>
    </x:row>
    <x:row r="163">
      <x:c r="A163" s="8" t="str">
        <x:f>IF(B163="","","WB-"&amp;TEXT(ROW()-1,"000"))</x:f>
      </x:c>
      <x:c r="B163" s="8"/>
      <x:c r="C163" s="8"/>
      <x:c r="D163" s="10"/>
      <x:c r="E163" s="8"/>
      <x:c r="F163" s="8"/>
      <x:c r="G163" s="8"/>
      <x:c r="H163" s="8"/>
      <x:c r="I163" s="8"/>
      <x:c r="J163" s="10"/>
      <x:c r="K163" s="10"/>
      <x:c r="L163" s="10" t="n">
        <x:f>IF(OR(D163="",K163=""),0,MAX(0,D163-K163))</x:f>
        <x:v>0</x:v>
      </x:c>
      <x:c r="M163" s="8"/>
      <x:c r="N163" s="12" t="n">
        <x:f>Rules!$F$2</x:f>
        <x:v>0.2</x:v>
      </x:c>
      <x:c r="O163" s="10" t="n">
        <x:f>IF(M163="Verified",L163*N163,0)</x:f>
        <x:v>0</x:v>
      </x:c>
      <x:c r="P163" s="10" t="n">
        <x:f>IF(M163="Verified",L163-O163,0)</x:f>
        <x:v>0</x:v>
      </x:c>
      <x:c r="Q163" s="14"/>
      <x:c r="R163" s="8"/>
      <x:c r="S163" s="8"/>
      <x:c r="T163" s="14"/>
      <x:c r="U163" s="8"/>
    </x:row>
    <x:row r="164">
      <x:c r="A164" s="8" t="str">
        <x:f>IF(B164="","","WB-"&amp;TEXT(ROW()-1,"000"))</x:f>
      </x:c>
      <x:c r="B164" s="8"/>
      <x:c r="C164" s="8"/>
      <x:c r="D164" s="10"/>
      <x:c r="E164" s="8"/>
      <x:c r="F164" s="8"/>
      <x:c r="G164" s="8"/>
      <x:c r="H164" s="8"/>
      <x:c r="I164" s="8"/>
      <x:c r="J164" s="10"/>
      <x:c r="K164" s="10"/>
      <x:c r="L164" s="10" t="n">
        <x:f>IF(OR(D164="",K164=""),0,MAX(0,D164-K164))</x:f>
        <x:v>0</x:v>
      </x:c>
      <x:c r="M164" s="8"/>
      <x:c r="N164" s="12" t="n">
        <x:f>Rules!$F$2</x:f>
        <x:v>0.2</x:v>
      </x:c>
      <x:c r="O164" s="10" t="n">
        <x:f>IF(M164="Verified",L164*N164,0)</x:f>
        <x:v>0</x:v>
      </x:c>
      <x:c r="P164" s="10" t="n">
        <x:f>IF(M164="Verified",L164-O164,0)</x:f>
        <x:v>0</x:v>
      </x:c>
      <x:c r="Q164" s="14"/>
      <x:c r="R164" s="8"/>
      <x:c r="S164" s="8"/>
      <x:c r="T164" s="14"/>
      <x:c r="U164" s="8"/>
    </x:row>
    <x:row r="165">
      <x:c r="A165" s="8" t="str">
        <x:f>IF(B165="","","WB-"&amp;TEXT(ROW()-1,"000"))</x:f>
      </x:c>
      <x:c r="B165" s="8"/>
      <x:c r="C165" s="8"/>
      <x:c r="D165" s="10"/>
      <x:c r="E165" s="8"/>
      <x:c r="F165" s="8"/>
      <x:c r="G165" s="8"/>
      <x:c r="H165" s="8"/>
      <x:c r="I165" s="8"/>
      <x:c r="J165" s="10"/>
      <x:c r="K165" s="10"/>
      <x:c r="L165" s="10" t="n">
        <x:f>IF(OR(D165="",K165=""),0,MAX(0,D165-K165))</x:f>
        <x:v>0</x:v>
      </x:c>
      <x:c r="M165" s="8"/>
      <x:c r="N165" s="12" t="n">
        <x:f>Rules!$F$2</x:f>
        <x:v>0.2</x:v>
      </x:c>
      <x:c r="O165" s="10" t="n">
        <x:f>IF(M165="Verified",L165*N165,0)</x:f>
        <x:v>0</x:v>
      </x:c>
      <x:c r="P165" s="10" t="n">
        <x:f>IF(M165="Verified",L165-O165,0)</x:f>
        <x:v>0</x:v>
      </x:c>
      <x:c r="Q165" s="14"/>
      <x:c r="R165" s="8"/>
      <x:c r="S165" s="8"/>
      <x:c r="T165" s="14"/>
      <x:c r="U165" s="8"/>
    </x:row>
    <x:row r="166">
      <x:c r="A166" s="8" t="str">
        <x:f>IF(B166="","","WB-"&amp;TEXT(ROW()-1,"000"))</x:f>
      </x:c>
      <x:c r="B166" s="8"/>
      <x:c r="C166" s="8"/>
      <x:c r="D166" s="10"/>
      <x:c r="E166" s="8"/>
      <x:c r="F166" s="8"/>
      <x:c r="G166" s="8"/>
      <x:c r="H166" s="8"/>
      <x:c r="I166" s="8"/>
      <x:c r="J166" s="10"/>
      <x:c r="K166" s="10"/>
      <x:c r="L166" s="10" t="n">
        <x:f>IF(OR(D166="",K166=""),0,MAX(0,D166-K166))</x:f>
        <x:v>0</x:v>
      </x:c>
      <x:c r="M166" s="8"/>
      <x:c r="N166" s="12" t="n">
        <x:f>Rules!$F$2</x:f>
        <x:v>0.2</x:v>
      </x:c>
      <x:c r="O166" s="10" t="n">
        <x:f>IF(M166="Verified",L166*N166,0)</x:f>
        <x:v>0</x:v>
      </x:c>
      <x:c r="P166" s="10" t="n">
        <x:f>IF(M166="Verified",L166-O166,0)</x:f>
        <x:v>0</x:v>
      </x:c>
      <x:c r="Q166" s="14"/>
      <x:c r="R166" s="8"/>
      <x:c r="S166" s="8"/>
      <x:c r="T166" s="14"/>
      <x:c r="U166" s="8"/>
    </x:row>
    <x:row r="167">
      <x:c r="A167" s="8" t="str">
        <x:f>IF(B167="","","WB-"&amp;TEXT(ROW()-1,"000"))</x:f>
      </x:c>
      <x:c r="B167" s="8"/>
      <x:c r="C167" s="8"/>
      <x:c r="D167" s="10"/>
      <x:c r="E167" s="8"/>
      <x:c r="F167" s="8"/>
      <x:c r="G167" s="8"/>
      <x:c r="H167" s="8"/>
      <x:c r="I167" s="8"/>
      <x:c r="J167" s="10"/>
      <x:c r="K167" s="10"/>
      <x:c r="L167" s="10" t="n">
        <x:f>IF(OR(D167="",K167=""),0,MAX(0,D167-K167))</x:f>
        <x:v>0</x:v>
      </x:c>
      <x:c r="M167" s="8"/>
      <x:c r="N167" s="12" t="n">
        <x:f>Rules!$F$2</x:f>
        <x:v>0.2</x:v>
      </x:c>
      <x:c r="O167" s="10" t="n">
        <x:f>IF(M167="Verified",L167*N167,0)</x:f>
        <x:v>0</x:v>
      </x:c>
      <x:c r="P167" s="10" t="n">
        <x:f>IF(M167="Verified",L167-O167,0)</x:f>
        <x:v>0</x:v>
      </x:c>
      <x:c r="Q167" s="14"/>
      <x:c r="R167" s="8"/>
      <x:c r="S167" s="8"/>
      <x:c r="T167" s="14"/>
      <x:c r="U167" s="8"/>
    </x:row>
    <x:row r="168">
      <x:c r="A168" s="8" t="str">
        <x:f>IF(B168="","","WB-"&amp;TEXT(ROW()-1,"000"))</x:f>
      </x:c>
      <x:c r="B168" s="8"/>
      <x:c r="C168" s="8"/>
      <x:c r="D168" s="10"/>
      <x:c r="E168" s="8"/>
      <x:c r="F168" s="8"/>
      <x:c r="G168" s="8"/>
      <x:c r="H168" s="8"/>
      <x:c r="I168" s="8"/>
      <x:c r="J168" s="10"/>
      <x:c r="K168" s="10"/>
      <x:c r="L168" s="10" t="n">
        <x:f>IF(OR(D168="",K168=""),0,MAX(0,D168-K168))</x:f>
        <x:v>0</x:v>
      </x:c>
      <x:c r="M168" s="8"/>
      <x:c r="N168" s="12" t="n">
        <x:f>Rules!$F$2</x:f>
        <x:v>0.2</x:v>
      </x:c>
      <x:c r="O168" s="10" t="n">
        <x:f>IF(M168="Verified",L168*N168,0)</x:f>
        <x:v>0</x:v>
      </x:c>
      <x:c r="P168" s="10" t="n">
        <x:f>IF(M168="Verified",L168-O168,0)</x:f>
        <x:v>0</x:v>
      </x:c>
      <x:c r="Q168" s="14"/>
      <x:c r="R168" s="8"/>
      <x:c r="S168" s="8"/>
      <x:c r="T168" s="14"/>
      <x:c r="U168" s="8"/>
    </x:row>
    <x:row r="169">
      <x:c r="A169" s="8" t="str">
        <x:f>IF(B169="","","WB-"&amp;TEXT(ROW()-1,"000"))</x:f>
      </x:c>
      <x:c r="B169" s="8"/>
      <x:c r="C169" s="8"/>
      <x:c r="D169" s="10"/>
      <x:c r="E169" s="8"/>
      <x:c r="F169" s="8"/>
      <x:c r="G169" s="8"/>
      <x:c r="H169" s="8"/>
      <x:c r="I169" s="8"/>
      <x:c r="J169" s="10"/>
      <x:c r="K169" s="10"/>
      <x:c r="L169" s="10" t="n">
        <x:f>IF(OR(D169="",K169=""),0,MAX(0,D169-K169))</x:f>
        <x:v>0</x:v>
      </x:c>
      <x:c r="M169" s="8"/>
      <x:c r="N169" s="12" t="n">
        <x:f>Rules!$F$2</x:f>
        <x:v>0.2</x:v>
      </x:c>
      <x:c r="O169" s="10" t="n">
        <x:f>IF(M169="Verified",L169*N169,0)</x:f>
        <x:v>0</x:v>
      </x:c>
      <x:c r="P169" s="10" t="n">
        <x:f>IF(M169="Verified",L169-O169,0)</x:f>
        <x:v>0</x:v>
      </x:c>
      <x:c r="Q169" s="14"/>
      <x:c r="R169" s="8"/>
      <x:c r="S169" s="8"/>
      <x:c r="T169" s="14"/>
      <x:c r="U169" s="8"/>
    </x:row>
    <x:row r="170">
      <x:c r="A170" s="8" t="str">
        <x:f>IF(B170="","","WB-"&amp;TEXT(ROW()-1,"000"))</x:f>
      </x:c>
      <x:c r="B170" s="8"/>
      <x:c r="C170" s="8"/>
      <x:c r="D170" s="10"/>
      <x:c r="E170" s="8"/>
      <x:c r="F170" s="8"/>
      <x:c r="G170" s="8"/>
      <x:c r="H170" s="8"/>
      <x:c r="I170" s="8"/>
      <x:c r="J170" s="10"/>
      <x:c r="K170" s="10"/>
      <x:c r="L170" s="10" t="n">
        <x:f>IF(OR(D170="",K170=""),0,MAX(0,D170-K170))</x:f>
        <x:v>0</x:v>
      </x:c>
      <x:c r="M170" s="8"/>
      <x:c r="N170" s="12" t="n">
        <x:f>Rules!$F$2</x:f>
        <x:v>0.2</x:v>
      </x:c>
      <x:c r="O170" s="10" t="n">
        <x:f>IF(M170="Verified",L170*N170,0)</x:f>
        <x:v>0</x:v>
      </x:c>
      <x:c r="P170" s="10" t="n">
        <x:f>IF(M170="Verified",L170-O170,0)</x:f>
        <x:v>0</x:v>
      </x:c>
      <x:c r="Q170" s="14"/>
      <x:c r="R170" s="8"/>
      <x:c r="S170" s="8"/>
      <x:c r="T170" s="14"/>
      <x:c r="U170" s="8"/>
    </x:row>
    <x:row r="171">
      <x:c r="A171" s="8" t="str">
        <x:f>IF(B171="","","WB-"&amp;TEXT(ROW()-1,"000"))</x:f>
      </x:c>
      <x:c r="B171" s="8"/>
      <x:c r="C171" s="8"/>
      <x:c r="D171" s="10"/>
      <x:c r="E171" s="8"/>
      <x:c r="F171" s="8"/>
      <x:c r="G171" s="8"/>
      <x:c r="H171" s="8"/>
      <x:c r="I171" s="8"/>
      <x:c r="J171" s="10"/>
      <x:c r="K171" s="10"/>
      <x:c r="L171" s="10" t="n">
        <x:f>IF(OR(D171="",K171=""),0,MAX(0,D171-K171))</x:f>
        <x:v>0</x:v>
      </x:c>
      <x:c r="M171" s="8"/>
      <x:c r="N171" s="12" t="n">
        <x:f>Rules!$F$2</x:f>
        <x:v>0.2</x:v>
      </x:c>
      <x:c r="O171" s="10" t="n">
        <x:f>IF(M171="Verified",L171*N171,0)</x:f>
        <x:v>0</x:v>
      </x:c>
      <x:c r="P171" s="10" t="n">
        <x:f>IF(M171="Verified",L171-O171,0)</x:f>
        <x:v>0</x:v>
      </x:c>
      <x:c r="Q171" s="14"/>
      <x:c r="R171" s="8"/>
      <x:c r="S171" s="8"/>
      <x:c r="T171" s="14"/>
      <x:c r="U171" s="8"/>
    </x:row>
    <x:row r="172">
      <x:c r="A172" s="8" t="str">
        <x:f>IF(B172="","","WB-"&amp;TEXT(ROW()-1,"000"))</x:f>
      </x:c>
      <x:c r="B172" s="8"/>
      <x:c r="C172" s="8"/>
      <x:c r="D172" s="10"/>
      <x:c r="E172" s="8"/>
      <x:c r="F172" s="8"/>
      <x:c r="G172" s="8"/>
      <x:c r="H172" s="8"/>
      <x:c r="I172" s="8"/>
      <x:c r="J172" s="10"/>
      <x:c r="K172" s="10"/>
      <x:c r="L172" s="10" t="n">
        <x:f>IF(OR(D172="",K172=""),0,MAX(0,D172-K172))</x:f>
        <x:v>0</x:v>
      </x:c>
      <x:c r="M172" s="8"/>
      <x:c r="N172" s="12" t="n">
        <x:f>Rules!$F$2</x:f>
        <x:v>0.2</x:v>
      </x:c>
      <x:c r="O172" s="10" t="n">
        <x:f>IF(M172="Verified",L172*N172,0)</x:f>
        <x:v>0</x:v>
      </x:c>
      <x:c r="P172" s="10" t="n">
        <x:f>IF(M172="Verified",L172-O172,0)</x:f>
        <x:v>0</x:v>
      </x:c>
      <x:c r="Q172" s="14"/>
      <x:c r="R172" s="8"/>
      <x:c r="S172" s="8"/>
      <x:c r="T172" s="14"/>
      <x:c r="U172" s="8"/>
    </x:row>
    <x:row r="173">
      <x:c r="A173" s="8" t="str">
        <x:f>IF(B173="","","WB-"&amp;TEXT(ROW()-1,"000"))</x:f>
      </x:c>
      <x:c r="B173" s="8"/>
      <x:c r="C173" s="8"/>
      <x:c r="D173" s="10"/>
      <x:c r="E173" s="8"/>
      <x:c r="F173" s="8"/>
      <x:c r="G173" s="8"/>
      <x:c r="H173" s="8"/>
      <x:c r="I173" s="8"/>
      <x:c r="J173" s="10"/>
      <x:c r="K173" s="10"/>
      <x:c r="L173" s="10" t="n">
        <x:f>IF(OR(D173="",K173=""),0,MAX(0,D173-K173))</x:f>
        <x:v>0</x:v>
      </x:c>
      <x:c r="M173" s="8"/>
      <x:c r="N173" s="12" t="n">
        <x:f>Rules!$F$2</x:f>
        <x:v>0.2</x:v>
      </x:c>
      <x:c r="O173" s="10" t="n">
        <x:f>IF(M173="Verified",L173*N173,0)</x:f>
        <x:v>0</x:v>
      </x:c>
      <x:c r="P173" s="10" t="n">
        <x:f>IF(M173="Verified",L173-O173,0)</x:f>
        <x:v>0</x:v>
      </x:c>
      <x:c r="Q173" s="14"/>
      <x:c r="R173" s="8"/>
      <x:c r="S173" s="8"/>
      <x:c r="T173" s="14"/>
      <x:c r="U173" s="8"/>
    </x:row>
    <x:row r="174">
      <x:c r="A174" s="8" t="str">
        <x:f>IF(B174="","","WB-"&amp;TEXT(ROW()-1,"000"))</x:f>
      </x:c>
      <x:c r="B174" s="8"/>
      <x:c r="C174" s="8"/>
      <x:c r="D174" s="10"/>
      <x:c r="E174" s="8"/>
      <x:c r="F174" s="8"/>
      <x:c r="G174" s="8"/>
      <x:c r="H174" s="8"/>
      <x:c r="I174" s="8"/>
      <x:c r="J174" s="10"/>
      <x:c r="K174" s="10"/>
      <x:c r="L174" s="10" t="n">
        <x:f>IF(OR(D174="",K174=""),0,MAX(0,D174-K174))</x:f>
        <x:v>0</x:v>
      </x:c>
      <x:c r="M174" s="8"/>
      <x:c r="N174" s="12" t="n">
        <x:f>Rules!$F$2</x:f>
        <x:v>0.2</x:v>
      </x:c>
      <x:c r="O174" s="10" t="n">
        <x:f>IF(M174="Verified",L174*N174,0)</x:f>
        <x:v>0</x:v>
      </x:c>
      <x:c r="P174" s="10" t="n">
        <x:f>IF(M174="Verified",L174-O174,0)</x:f>
        <x:v>0</x:v>
      </x:c>
      <x:c r="Q174" s="14"/>
      <x:c r="R174" s="8"/>
      <x:c r="S174" s="8"/>
      <x:c r="T174" s="14"/>
      <x:c r="U174" s="8"/>
    </x:row>
    <x:row r="175">
      <x:c r="A175" s="8" t="str">
        <x:f>IF(B175="","","WB-"&amp;TEXT(ROW()-1,"000"))</x:f>
      </x:c>
      <x:c r="B175" s="8"/>
      <x:c r="C175" s="8"/>
      <x:c r="D175" s="10"/>
      <x:c r="E175" s="8"/>
      <x:c r="F175" s="8"/>
      <x:c r="G175" s="8"/>
      <x:c r="H175" s="8"/>
      <x:c r="I175" s="8"/>
      <x:c r="J175" s="10"/>
      <x:c r="K175" s="10"/>
      <x:c r="L175" s="10" t="n">
        <x:f>IF(OR(D175="",K175=""),0,MAX(0,D175-K175))</x:f>
        <x:v>0</x:v>
      </x:c>
      <x:c r="M175" s="8"/>
      <x:c r="N175" s="12" t="n">
        <x:f>Rules!$F$2</x:f>
        <x:v>0.2</x:v>
      </x:c>
      <x:c r="O175" s="10" t="n">
        <x:f>IF(M175="Verified",L175*N175,0)</x:f>
        <x:v>0</x:v>
      </x:c>
      <x:c r="P175" s="10" t="n">
        <x:f>IF(M175="Verified",L175-O175,0)</x:f>
        <x:v>0</x:v>
      </x:c>
      <x:c r="Q175" s="14"/>
      <x:c r="R175" s="8"/>
      <x:c r="S175" s="8"/>
      <x:c r="T175" s="14"/>
      <x:c r="U175" s="8"/>
    </x:row>
    <x:row r="176">
      <x:c r="A176" s="8" t="str">
        <x:f>IF(B176="","","WB-"&amp;TEXT(ROW()-1,"000"))</x:f>
      </x:c>
      <x:c r="B176" s="8"/>
      <x:c r="C176" s="8"/>
      <x:c r="D176" s="10"/>
      <x:c r="E176" s="8"/>
      <x:c r="F176" s="8"/>
      <x:c r="G176" s="8"/>
      <x:c r="H176" s="8"/>
      <x:c r="I176" s="8"/>
      <x:c r="J176" s="10"/>
      <x:c r="K176" s="10"/>
      <x:c r="L176" s="10" t="n">
        <x:f>IF(OR(D176="",K176=""),0,MAX(0,D176-K176))</x:f>
        <x:v>0</x:v>
      </x:c>
      <x:c r="M176" s="8"/>
      <x:c r="N176" s="12" t="n">
        <x:f>Rules!$F$2</x:f>
        <x:v>0.2</x:v>
      </x:c>
      <x:c r="O176" s="10" t="n">
        <x:f>IF(M176="Verified",L176*N176,0)</x:f>
        <x:v>0</x:v>
      </x:c>
      <x:c r="P176" s="10" t="n">
        <x:f>IF(M176="Verified",L176-O176,0)</x:f>
        <x:v>0</x:v>
      </x:c>
      <x:c r="Q176" s="14"/>
      <x:c r="R176" s="8"/>
      <x:c r="S176" s="8"/>
      <x:c r="T176" s="14"/>
      <x:c r="U176" s="8"/>
    </x:row>
    <x:row r="177">
      <x:c r="A177" s="8" t="str">
        <x:f>IF(B177="","","WB-"&amp;TEXT(ROW()-1,"000"))</x:f>
      </x:c>
      <x:c r="B177" s="8"/>
      <x:c r="C177" s="8"/>
      <x:c r="D177" s="10"/>
      <x:c r="E177" s="8"/>
      <x:c r="F177" s="8"/>
      <x:c r="G177" s="8"/>
      <x:c r="H177" s="8"/>
      <x:c r="I177" s="8"/>
      <x:c r="J177" s="10"/>
      <x:c r="K177" s="10"/>
      <x:c r="L177" s="10" t="n">
        <x:f>IF(OR(D177="",K177=""),0,MAX(0,D177-K177))</x:f>
        <x:v>0</x:v>
      </x:c>
      <x:c r="M177" s="8"/>
      <x:c r="N177" s="12" t="n">
        <x:f>Rules!$F$2</x:f>
        <x:v>0.2</x:v>
      </x:c>
      <x:c r="O177" s="10" t="n">
        <x:f>IF(M177="Verified",L177*N177,0)</x:f>
        <x:v>0</x:v>
      </x:c>
      <x:c r="P177" s="10" t="n">
        <x:f>IF(M177="Verified",L177-O177,0)</x:f>
        <x:v>0</x:v>
      </x:c>
      <x:c r="Q177" s="14"/>
      <x:c r="R177" s="8"/>
      <x:c r="S177" s="8"/>
      <x:c r="T177" s="14"/>
      <x:c r="U177" s="8"/>
    </x:row>
    <x:row r="178">
      <x:c r="A178" s="8" t="str">
        <x:f>IF(B178="","","WB-"&amp;TEXT(ROW()-1,"000"))</x:f>
      </x:c>
      <x:c r="B178" s="8"/>
      <x:c r="C178" s="8"/>
      <x:c r="D178" s="10"/>
      <x:c r="E178" s="8"/>
      <x:c r="F178" s="8"/>
      <x:c r="G178" s="8"/>
      <x:c r="H178" s="8"/>
      <x:c r="I178" s="8"/>
      <x:c r="J178" s="10"/>
      <x:c r="K178" s="10"/>
      <x:c r="L178" s="10" t="n">
        <x:f>IF(OR(D178="",K178=""),0,MAX(0,D178-K178))</x:f>
        <x:v>0</x:v>
      </x:c>
      <x:c r="M178" s="8"/>
      <x:c r="N178" s="12" t="n">
        <x:f>Rules!$F$2</x:f>
        <x:v>0.2</x:v>
      </x:c>
      <x:c r="O178" s="10" t="n">
        <x:f>IF(M178="Verified",L178*N178,0)</x:f>
        <x:v>0</x:v>
      </x:c>
      <x:c r="P178" s="10" t="n">
        <x:f>IF(M178="Verified",L178-O178,0)</x:f>
        <x:v>0</x:v>
      </x:c>
      <x:c r="Q178" s="14"/>
      <x:c r="R178" s="8"/>
      <x:c r="S178" s="8"/>
      <x:c r="T178" s="14"/>
      <x:c r="U178" s="8"/>
    </x:row>
    <x:row r="179">
      <x:c r="A179" s="8" t="str">
        <x:f>IF(B179="","","WB-"&amp;TEXT(ROW()-1,"000"))</x:f>
      </x:c>
      <x:c r="B179" s="8"/>
      <x:c r="C179" s="8"/>
      <x:c r="D179" s="10"/>
      <x:c r="E179" s="8"/>
      <x:c r="F179" s="8"/>
      <x:c r="G179" s="8"/>
      <x:c r="H179" s="8"/>
      <x:c r="I179" s="8"/>
      <x:c r="J179" s="10"/>
      <x:c r="K179" s="10"/>
      <x:c r="L179" s="10" t="n">
        <x:f>IF(OR(D179="",K179=""),0,MAX(0,D179-K179))</x:f>
        <x:v>0</x:v>
      </x:c>
      <x:c r="M179" s="8"/>
      <x:c r="N179" s="12" t="n">
        <x:f>Rules!$F$2</x:f>
        <x:v>0.2</x:v>
      </x:c>
      <x:c r="O179" s="10" t="n">
        <x:f>IF(M179="Verified",L179*N179,0)</x:f>
        <x:v>0</x:v>
      </x:c>
      <x:c r="P179" s="10" t="n">
        <x:f>IF(M179="Verified",L179-O179,0)</x:f>
        <x:v>0</x:v>
      </x:c>
      <x:c r="Q179" s="14"/>
      <x:c r="R179" s="8"/>
      <x:c r="S179" s="8"/>
      <x:c r="T179" s="14"/>
      <x:c r="U179" s="8"/>
    </x:row>
    <x:row r="180">
      <x:c r="A180" s="8" t="str">
        <x:f>IF(B180="","","WB-"&amp;TEXT(ROW()-1,"000"))</x:f>
      </x:c>
      <x:c r="B180" s="8"/>
      <x:c r="C180" s="8"/>
      <x:c r="D180" s="10"/>
      <x:c r="E180" s="8"/>
      <x:c r="F180" s="8"/>
      <x:c r="G180" s="8"/>
      <x:c r="H180" s="8"/>
      <x:c r="I180" s="8"/>
      <x:c r="J180" s="10"/>
      <x:c r="K180" s="10"/>
      <x:c r="L180" s="10" t="n">
        <x:f>IF(OR(D180="",K180=""),0,MAX(0,D180-K180))</x:f>
        <x:v>0</x:v>
      </x:c>
      <x:c r="M180" s="8"/>
      <x:c r="N180" s="12" t="n">
        <x:f>Rules!$F$2</x:f>
        <x:v>0.2</x:v>
      </x:c>
      <x:c r="O180" s="10" t="n">
        <x:f>IF(M180="Verified",L180*N180,0)</x:f>
        <x:v>0</x:v>
      </x:c>
      <x:c r="P180" s="10" t="n">
        <x:f>IF(M180="Verified",L180-O180,0)</x:f>
        <x:v>0</x:v>
      </x:c>
      <x:c r="Q180" s="14"/>
      <x:c r="R180" s="8"/>
      <x:c r="S180" s="8"/>
      <x:c r="T180" s="14"/>
      <x:c r="U180" s="8"/>
    </x:row>
    <x:row r="181">
      <x:c r="A181" s="8" t="str">
        <x:f>IF(B181="","","WB-"&amp;TEXT(ROW()-1,"000"))</x:f>
      </x:c>
      <x:c r="B181" s="8"/>
      <x:c r="C181" s="8"/>
      <x:c r="D181" s="10"/>
      <x:c r="E181" s="8"/>
      <x:c r="F181" s="8"/>
      <x:c r="G181" s="8"/>
      <x:c r="H181" s="8"/>
      <x:c r="I181" s="8"/>
      <x:c r="J181" s="10"/>
      <x:c r="K181" s="10"/>
      <x:c r="L181" s="10" t="n">
        <x:f>IF(OR(D181="",K181=""),0,MAX(0,D181-K181))</x:f>
        <x:v>0</x:v>
      </x:c>
      <x:c r="M181" s="8"/>
      <x:c r="N181" s="12" t="n">
        <x:f>Rules!$F$2</x:f>
        <x:v>0.2</x:v>
      </x:c>
      <x:c r="O181" s="10" t="n">
        <x:f>IF(M181="Verified",L181*N181,0)</x:f>
        <x:v>0</x:v>
      </x:c>
      <x:c r="P181" s="10" t="n">
        <x:f>IF(M181="Verified",L181-O181,0)</x:f>
        <x:v>0</x:v>
      </x:c>
      <x:c r="Q181" s="14"/>
      <x:c r="R181" s="8"/>
      <x:c r="S181" s="8"/>
      <x:c r="T181" s="14"/>
      <x:c r="U181" s="8"/>
    </x:row>
    <x:row r="182">
      <x:c r="A182" s="8" t="str">
        <x:f>IF(B182="","","WB-"&amp;TEXT(ROW()-1,"000"))</x:f>
      </x:c>
      <x:c r="B182" s="8"/>
      <x:c r="C182" s="8"/>
      <x:c r="D182" s="10"/>
      <x:c r="E182" s="8"/>
      <x:c r="F182" s="8"/>
      <x:c r="G182" s="8"/>
      <x:c r="H182" s="8"/>
      <x:c r="I182" s="8"/>
      <x:c r="J182" s="10"/>
      <x:c r="K182" s="10"/>
      <x:c r="L182" s="10" t="n">
        <x:f>IF(OR(D182="",K182=""),0,MAX(0,D182-K182))</x:f>
        <x:v>0</x:v>
      </x:c>
      <x:c r="M182" s="8"/>
      <x:c r="N182" s="12" t="n">
        <x:f>Rules!$F$2</x:f>
        <x:v>0.2</x:v>
      </x:c>
      <x:c r="O182" s="10" t="n">
        <x:f>IF(M182="Verified",L182*N182,0)</x:f>
        <x:v>0</x:v>
      </x:c>
      <x:c r="P182" s="10" t="n">
        <x:f>IF(M182="Verified",L182-O182,0)</x:f>
        <x:v>0</x:v>
      </x:c>
      <x:c r="Q182" s="14"/>
      <x:c r="R182" s="8"/>
      <x:c r="S182" s="8"/>
      <x:c r="T182" s="14"/>
      <x:c r="U182" s="8"/>
    </x:row>
    <x:row r="183">
      <x:c r="A183" s="8" t="str">
        <x:f>IF(B183="","","WB-"&amp;TEXT(ROW()-1,"000"))</x:f>
      </x:c>
      <x:c r="B183" s="8"/>
      <x:c r="C183" s="8"/>
      <x:c r="D183" s="10"/>
      <x:c r="E183" s="8"/>
      <x:c r="F183" s="8"/>
      <x:c r="G183" s="8"/>
      <x:c r="H183" s="8"/>
      <x:c r="I183" s="8"/>
      <x:c r="J183" s="10"/>
      <x:c r="K183" s="10"/>
      <x:c r="L183" s="10" t="n">
        <x:f>IF(OR(D183="",K183=""),0,MAX(0,D183-K183))</x:f>
        <x:v>0</x:v>
      </x:c>
      <x:c r="M183" s="8"/>
      <x:c r="N183" s="12" t="n">
        <x:f>Rules!$F$2</x:f>
        <x:v>0.2</x:v>
      </x:c>
      <x:c r="O183" s="10" t="n">
        <x:f>IF(M183="Verified",L183*N183,0)</x:f>
        <x:v>0</x:v>
      </x:c>
      <x:c r="P183" s="10" t="n">
        <x:f>IF(M183="Verified",L183-O183,0)</x:f>
        <x:v>0</x:v>
      </x:c>
      <x:c r="Q183" s="14"/>
      <x:c r="R183" s="8"/>
      <x:c r="S183" s="8"/>
      <x:c r="T183" s="14"/>
      <x:c r="U183" s="8"/>
    </x:row>
    <x:row r="184">
      <x:c r="A184" s="8" t="str">
        <x:f>IF(B184="","","WB-"&amp;TEXT(ROW()-1,"000"))</x:f>
      </x:c>
      <x:c r="B184" s="8"/>
      <x:c r="C184" s="8"/>
      <x:c r="D184" s="10"/>
      <x:c r="E184" s="8"/>
      <x:c r="F184" s="8"/>
      <x:c r="G184" s="8"/>
      <x:c r="H184" s="8"/>
      <x:c r="I184" s="8"/>
      <x:c r="J184" s="10"/>
      <x:c r="K184" s="10"/>
      <x:c r="L184" s="10" t="n">
        <x:f>IF(OR(D184="",K184=""),0,MAX(0,D184-K184))</x:f>
        <x:v>0</x:v>
      </x:c>
      <x:c r="M184" s="8"/>
      <x:c r="N184" s="12" t="n">
        <x:f>Rules!$F$2</x:f>
        <x:v>0.2</x:v>
      </x:c>
      <x:c r="O184" s="10" t="n">
        <x:f>IF(M184="Verified",L184*N184,0)</x:f>
        <x:v>0</x:v>
      </x:c>
      <x:c r="P184" s="10" t="n">
        <x:f>IF(M184="Verified",L184-O184,0)</x:f>
        <x:v>0</x:v>
      </x:c>
      <x:c r="Q184" s="14"/>
      <x:c r="R184" s="8"/>
      <x:c r="S184" s="8"/>
      <x:c r="T184" s="14"/>
      <x:c r="U184" s="8"/>
    </x:row>
    <x:row r="185">
      <x:c r="A185" s="8" t="str">
        <x:f>IF(B185="","","WB-"&amp;TEXT(ROW()-1,"000"))</x:f>
      </x:c>
      <x:c r="B185" s="8"/>
      <x:c r="C185" s="8"/>
      <x:c r="D185" s="10"/>
      <x:c r="E185" s="8"/>
      <x:c r="F185" s="8"/>
      <x:c r="G185" s="8"/>
      <x:c r="H185" s="8"/>
      <x:c r="I185" s="8"/>
      <x:c r="J185" s="10"/>
      <x:c r="K185" s="10"/>
      <x:c r="L185" s="10" t="n">
        <x:f>IF(OR(D185="",K185=""),0,MAX(0,D185-K185))</x:f>
        <x:v>0</x:v>
      </x:c>
      <x:c r="M185" s="8"/>
      <x:c r="N185" s="12" t="n">
        <x:f>Rules!$F$2</x:f>
        <x:v>0.2</x:v>
      </x:c>
      <x:c r="O185" s="10" t="n">
        <x:f>IF(M185="Verified",L185*N185,0)</x:f>
        <x:v>0</x:v>
      </x:c>
      <x:c r="P185" s="10" t="n">
        <x:f>IF(M185="Verified",L185-O185,0)</x:f>
        <x:v>0</x:v>
      </x:c>
      <x:c r="Q185" s="14"/>
      <x:c r="R185" s="8"/>
      <x:c r="S185" s="8"/>
      <x:c r="T185" s="14"/>
      <x:c r="U185" s="8"/>
    </x:row>
    <x:row r="186">
      <x:c r="A186" s="8" t="str">
        <x:f>IF(B186="","","WB-"&amp;TEXT(ROW()-1,"000"))</x:f>
      </x:c>
      <x:c r="B186" s="8"/>
      <x:c r="C186" s="8"/>
      <x:c r="D186" s="10"/>
      <x:c r="E186" s="8"/>
      <x:c r="F186" s="8"/>
      <x:c r="G186" s="8"/>
      <x:c r="H186" s="8"/>
      <x:c r="I186" s="8"/>
      <x:c r="J186" s="10"/>
      <x:c r="K186" s="10"/>
      <x:c r="L186" s="10" t="n">
        <x:f>IF(OR(D186="",K186=""),0,MAX(0,D186-K186))</x:f>
        <x:v>0</x:v>
      </x:c>
      <x:c r="M186" s="8"/>
      <x:c r="N186" s="12" t="n">
        <x:f>Rules!$F$2</x:f>
        <x:v>0.2</x:v>
      </x:c>
      <x:c r="O186" s="10" t="n">
        <x:f>IF(M186="Verified",L186*N186,0)</x:f>
        <x:v>0</x:v>
      </x:c>
      <x:c r="P186" s="10" t="n">
        <x:f>IF(M186="Verified",L186-O186,0)</x:f>
        <x:v>0</x:v>
      </x:c>
      <x:c r="Q186" s="14"/>
      <x:c r="R186" s="8"/>
      <x:c r="S186" s="8"/>
      <x:c r="T186" s="14"/>
      <x:c r="U186" s="8"/>
    </x:row>
    <x:row r="187">
      <x:c r="A187" s="8" t="str">
        <x:f>IF(B187="","","WB-"&amp;TEXT(ROW()-1,"000"))</x:f>
      </x:c>
      <x:c r="B187" s="8"/>
      <x:c r="C187" s="8"/>
      <x:c r="D187" s="10"/>
      <x:c r="E187" s="8"/>
      <x:c r="F187" s="8"/>
      <x:c r="G187" s="8"/>
      <x:c r="H187" s="8"/>
      <x:c r="I187" s="8"/>
      <x:c r="J187" s="10"/>
      <x:c r="K187" s="10"/>
      <x:c r="L187" s="10" t="n">
        <x:f>IF(OR(D187="",K187=""),0,MAX(0,D187-K187))</x:f>
        <x:v>0</x:v>
      </x:c>
      <x:c r="M187" s="8"/>
      <x:c r="N187" s="12" t="n">
        <x:f>Rules!$F$2</x:f>
        <x:v>0.2</x:v>
      </x:c>
      <x:c r="O187" s="10" t="n">
        <x:f>IF(M187="Verified",L187*N187,0)</x:f>
        <x:v>0</x:v>
      </x:c>
      <x:c r="P187" s="10" t="n">
        <x:f>IF(M187="Verified",L187-O187,0)</x:f>
        <x:v>0</x:v>
      </x:c>
      <x:c r="Q187" s="14"/>
      <x:c r="R187" s="8"/>
      <x:c r="S187" s="8"/>
      <x:c r="T187" s="14"/>
      <x:c r="U187" s="8"/>
    </x:row>
    <x:row r="188">
      <x:c r="A188" s="8" t="str">
        <x:f>IF(B188="","","WB-"&amp;TEXT(ROW()-1,"000"))</x:f>
      </x:c>
      <x:c r="B188" s="8"/>
      <x:c r="C188" s="8"/>
      <x:c r="D188" s="10"/>
      <x:c r="E188" s="8"/>
      <x:c r="F188" s="8"/>
      <x:c r="G188" s="8"/>
      <x:c r="H188" s="8"/>
      <x:c r="I188" s="8"/>
      <x:c r="J188" s="10"/>
      <x:c r="K188" s="10"/>
      <x:c r="L188" s="10" t="n">
        <x:f>IF(OR(D188="",K188=""),0,MAX(0,D188-K188))</x:f>
        <x:v>0</x:v>
      </x:c>
      <x:c r="M188" s="8"/>
      <x:c r="N188" s="12" t="n">
        <x:f>Rules!$F$2</x:f>
        <x:v>0.2</x:v>
      </x:c>
      <x:c r="O188" s="10" t="n">
        <x:f>IF(M188="Verified",L188*N188,0)</x:f>
        <x:v>0</x:v>
      </x:c>
      <x:c r="P188" s="10" t="n">
        <x:f>IF(M188="Verified",L188-O188,0)</x:f>
        <x:v>0</x:v>
      </x:c>
      <x:c r="Q188" s="14"/>
      <x:c r="R188" s="8"/>
      <x:c r="S188" s="8"/>
      <x:c r="T188" s="14"/>
      <x:c r="U188" s="8"/>
    </x:row>
    <x:row r="189">
      <x:c r="A189" s="8" t="str">
        <x:f>IF(B189="","","WB-"&amp;TEXT(ROW()-1,"000"))</x:f>
      </x:c>
      <x:c r="B189" s="8"/>
      <x:c r="C189" s="8"/>
      <x:c r="D189" s="10"/>
      <x:c r="E189" s="8"/>
      <x:c r="F189" s="8"/>
      <x:c r="G189" s="8"/>
      <x:c r="H189" s="8"/>
      <x:c r="I189" s="8"/>
      <x:c r="J189" s="10"/>
      <x:c r="K189" s="10"/>
      <x:c r="L189" s="10" t="n">
        <x:f>IF(OR(D189="",K189=""),0,MAX(0,D189-K189))</x:f>
        <x:v>0</x:v>
      </x:c>
      <x:c r="M189" s="8"/>
      <x:c r="N189" s="12" t="n">
        <x:f>Rules!$F$2</x:f>
        <x:v>0.2</x:v>
      </x:c>
      <x:c r="O189" s="10" t="n">
        <x:f>IF(M189="Verified",L189*N189,0)</x:f>
        <x:v>0</x:v>
      </x:c>
      <x:c r="P189" s="10" t="n">
        <x:f>IF(M189="Verified",L189-O189,0)</x:f>
        <x:v>0</x:v>
      </x:c>
      <x:c r="Q189" s="14"/>
      <x:c r="R189" s="8"/>
      <x:c r="S189" s="8"/>
      <x:c r="T189" s="14"/>
      <x:c r="U189" s="8"/>
    </x:row>
    <x:row r="190">
      <x:c r="A190" s="8" t="str">
        <x:f>IF(B190="","","WB-"&amp;TEXT(ROW()-1,"000"))</x:f>
      </x:c>
      <x:c r="B190" s="8"/>
      <x:c r="C190" s="8"/>
      <x:c r="D190" s="10"/>
      <x:c r="E190" s="8"/>
      <x:c r="F190" s="8"/>
      <x:c r="G190" s="8"/>
      <x:c r="H190" s="8"/>
      <x:c r="I190" s="8"/>
      <x:c r="J190" s="10"/>
      <x:c r="K190" s="10"/>
      <x:c r="L190" s="10" t="n">
        <x:f>IF(OR(D190="",K190=""),0,MAX(0,D190-K190))</x:f>
        <x:v>0</x:v>
      </x:c>
      <x:c r="M190" s="8"/>
      <x:c r="N190" s="12" t="n">
        <x:f>Rules!$F$2</x:f>
        <x:v>0.2</x:v>
      </x:c>
      <x:c r="O190" s="10" t="n">
        <x:f>IF(M190="Verified",L190*N190,0)</x:f>
        <x:v>0</x:v>
      </x:c>
      <x:c r="P190" s="10" t="n">
        <x:f>IF(M190="Verified",L190-O190,0)</x:f>
        <x:v>0</x:v>
      </x:c>
      <x:c r="Q190" s="14"/>
      <x:c r="R190" s="8"/>
      <x:c r="S190" s="8"/>
      <x:c r="T190" s="14"/>
      <x:c r="U190" s="8"/>
    </x:row>
    <x:row r="191">
      <x:c r="A191" s="8" t="str">
        <x:f>IF(B191="","","WB-"&amp;TEXT(ROW()-1,"000"))</x:f>
      </x:c>
      <x:c r="B191" s="8"/>
      <x:c r="C191" s="8"/>
      <x:c r="D191" s="10"/>
      <x:c r="E191" s="8"/>
      <x:c r="F191" s="8"/>
      <x:c r="G191" s="8"/>
      <x:c r="H191" s="8"/>
      <x:c r="I191" s="8"/>
      <x:c r="J191" s="10"/>
      <x:c r="K191" s="10"/>
      <x:c r="L191" s="10" t="n">
        <x:f>IF(OR(D191="",K191=""),0,MAX(0,D191-K191))</x:f>
        <x:v>0</x:v>
      </x:c>
      <x:c r="M191" s="8"/>
      <x:c r="N191" s="12" t="n">
        <x:f>Rules!$F$2</x:f>
        <x:v>0.2</x:v>
      </x:c>
      <x:c r="O191" s="10" t="n">
        <x:f>IF(M191="Verified",L191*N191,0)</x:f>
        <x:v>0</x:v>
      </x:c>
      <x:c r="P191" s="10" t="n">
        <x:f>IF(M191="Verified",L191-O191,0)</x:f>
        <x:v>0</x:v>
      </x:c>
      <x:c r="Q191" s="14"/>
      <x:c r="R191" s="8"/>
      <x:c r="S191" s="8"/>
      <x:c r="T191" s="14"/>
      <x:c r="U191" s="8"/>
    </x:row>
    <x:row r="192">
      <x:c r="A192" s="8" t="str">
        <x:f>IF(B192="","","WB-"&amp;TEXT(ROW()-1,"000"))</x:f>
      </x:c>
      <x:c r="B192" s="8"/>
      <x:c r="C192" s="8"/>
      <x:c r="D192" s="10"/>
      <x:c r="E192" s="8"/>
      <x:c r="F192" s="8"/>
      <x:c r="G192" s="8"/>
      <x:c r="H192" s="8"/>
      <x:c r="I192" s="8"/>
      <x:c r="J192" s="10"/>
      <x:c r="K192" s="10"/>
      <x:c r="L192" s="10" t="n">
        <x:f>IF(OR(D192="",K192=""),0,MAX(0,D192-K192))</x:f>
        <x:v>0</x:v>
      </x:c>
      <x:c r="M192" s="8"/>
      <x:c r="N192" s="12" t="n">
        <x:f>Rules!$F$2</x:f>
        <x:v>0.2</x:v>
      </x:c>
      <x:c r="O192" s="10" t="n">
        <x:f>IF(M192="Verified",L192*N192,0)</x:f>
        <x:v>0</x:v>
      </x:c>
      <x:c r="P192" s="10" t="n">
        <x:f>IF(M192="Verified",L192-O192,0)</x:f>
        <x:v>0</x:v>
      </x:c>
      <x:c r="Q192" s="14"/>
      <x:c r="R192" s="8"/>
      <x:c r="S192" s="8"/>
      <x:c r="T192" s="14"/>
      <x:c r="U192" s="8"/>
    </x:row>
    <x:row r="193">
      <x:c r="A193" s="8" t="str">
        <x:f>IF(B193="","","WB-"&amp;TEXT(ROW()-1,"000"))</x:f>
      </x:c>
      <x:c r="B193" s="8"/>
      <x:c r="C193" s="8"/>
      <x:c r="D193" s="10"/>
      <x:c r="E193" s="8"/>
      <x:c r="F193" s="8"/>
      <x:c r="G193" s="8"/>
      <x:c r="H193" s="8"/>
      <x:c r="I193" s="8"/>
      <x:c r="J193" s="10"/>
      <x:c r="K193" s="10"/>
      <x:c r="L193" s="10" t="n">
        <x:f>IF(OR(D193="",K193=""),0,MAX(0,D193-K193))</x:f>
        <x:v>0</x:v>
      </x:c>
      <x:c r="M193" s="8"/>
      <x:c r="N193" s="12" t="n">
        <x:f>Rules!$F$2</x:f>
        <x:v>0.2</x:v>
      </x:c>
      <x:c r="O193" s="10" t="n">
        <x:f>IF(M193="Verified",L193*N193,0)</x:f>
        <x:v>0</x:v>
      </x:c>
      <x:c r="P193" s="10" t="n">
        <x:f>IF(M193="Verified",L193-O193,0)</x:f>
        <x:v>0</x:v>
      </x:c>
      <x:c r="Q193" s="14"/>
      <x:c r="R193" s="8"/>
      <x:c r="S193" s="8"/>
      <x:c r="T193" s="14"/>
      <x:c r="U193" s="8"/>
    </x:row>
    <x:row r="194">
      <x:c r="A194" s="8" t="str">
        <x:f>IF(B194="","","WB-"&amp;TEXT(ROW()-1,"000"))</x:f>
      </x:c>
      <x:c r="B194" s="8"/>
      <x:c r="C194" s="8"/>
      <x:c r="D194" s="10"/>
      <x:c r="E194" s="8"/>
      <x:c r="F194" s="8"/>
      <x:c r="G194" s="8"/>
      <x:c r="H194" s="8"/>
      <x:c r="I194" s="8"/>
      <x:c r="J194" s="10"/>
      <x:c r="K194" s="10"/>
      <x:c r="L194" s="10" t="n">
        <x:f>IF(OR(D194="",K194=""),0,MAX(0,D194-K194))</x:f>
        <x:v>0</x:v>
      </x:c>
      <x:c r="M194" s="8"/>
      <x:c r="N194" s="12" t="n">
        <x:f>Rules!$F$2</x:f>
        <x:v>0.2</x:v>
      </x:c>
      <x:c r="O194" s="10" t="n">
        <x:f>IF(M194="Verified",L194*N194,0)</x:f>
        <x:v>0</x:v>
      </x:c>
      <x:c r="P194" s="10" t="n">
        <x:f>IF(M194="Verified",L194-O194,0)</x:f>
        <x:v>0</x:v>
      </x:c>
      <x:c r="Q194" s="14"/>
      <x:c r="R194" s="8"/>
      <x:c r="S194" s="8"/>
      <x:c r="T194" s="14"/>
      <x:c r="U194" s="8"/>
    </x:row>
    <x:row r="195">
      <x:c r="A195" s="8" t="str">
        <x:f>IF(B195="","","WB-"&amp;TEXT(ROW()-1,"000"))</x:f>
      </x:c>
      <x:c r="B195" s="8"/>
      <x:c r="C195" s="8"/>
      <x:c r="D195" s="10"/>
      <x:c r="E195" s="8"/>
      <x:c r="F195" s="8"/>
      <x:c r="G195" s="8"/>
      <x:c r="H195" s="8"/>
      <x:c r="I195" s="8"/>
      <x:c r="J195" s="10"/>
      <x:c r="K195" s="10"/>
      <x:c r="L195" s="10" t="n">
        <x:f>IF(OR(D195="",K195=""),0,MAX(0,D195-K195))</x:f>
        <x:v>0</x:v>
      </x:c>
      <x:c r="M195" s="8"/>
      <x:c r="N195" s="12" t="n">
        <x:f>Rules!$F$2</x:f>
        <x:v>0.2</x:v>
      </x:c>
      <x:c r="O195" s="10" t="n">
        <x:f>IF(M195="Verified",L195*N195,0)</x:f>
        <x:v>0</x:v>
      </x:c>
      <x:c r="P195" s="10" t="n">
        <x:f>IF(M195="Verified",L195-O195,0)</x:f>
        <x:v>0</x:v>
      </x:c>
      <x:c r="Q195" s="14"/>
      <x:c r="R195" s="8"/>
      <x:c r="S195" s="8"/>
      <x:c r="T195" s="14"/>
      <x:c r="U195" s="8"/>
    </x:row>
    <x:row r="196">
      <x:c r="A196" s="8" t="str">
        <x:f>IF(B196="","","WB-"&amp;TEXT(ROW()-1,"000"))</x:f>
      </x:c>
      <x:c r="B196" s="8"/>
      <x:c r="C196" s="8"/>
      <x:c r="D196" s="10"/>
      <x:c r="E196" s="8"/>
      <x:c r="F196" s="8"/>
      <x:c r="G196" s="8"/>
      <x:c r="H196" s="8"/>
      <x:c r="I196" s="8"/>
      <x:c r="J196" s="10"/>
      <x:c r="K196" s="10"/>
      <x:c r="L196" s="10" t="n">
        <x:f>IF(OR(D196="",K196=""),0,MAX(0,D196-K196))</x:f>
        <x:v>0</x:v>
      </x:c>
      <x:c r="M196" s="8"/>
      <x:c r="N196" s="12" t="n">
        <x:f>Rules!$F$2</x:f>
        <x:v>0.2</x:v>
      </x:c>
      <x:c r="O196" s="10" t="n">
        <x:f>IF(M196="Verified",L196*N196,0)</x:f>
        <x:v>0</x:v>
      </x:c>
      <x:c r="P196" s="10" t="n">
        <x:f>IF(M196="Verified",L196-O196,0)</x:f>
        <x:v>0</x:v>
      </x:c>
      <x:c r="Q196" s="14"/>
      <x:c r="R196" s="8"/>
      <x:c r="S196" s="8"/>
      <x:c r="T196" s="14"/>
      <x:c r="U196" s="8"/>
    </x:row>
    <x:row r="197">
      <x:c r="A197" s="8" t="str">
        <x:f>IF(B197="","","WB-"&amp;TEXT(ROW()-1,"000"))</x:f>
      </x:c>
      <x:c r="B197" s="8"/>
      <x:c r="C197" s="8"/>
      <x:c r="D197" s="10"/>
      <x:c r="E197" s="8"/>
      <x:c r="F197" s="8"/>
      <x:c r="G197" s="8"/>
      <x:c r="H197" s="8"/>
      <x:c r="I197" s="8"/>
      <x:c r="J197" s="10"/>
      <x:c r="K197" s="10"/>
      <x:c r="L197" s="10" t="n">
        <x:f>IF(OR(D197="",K197=""),0,MAX(0,D197-K197))</x:f>
        <x:v>0</x:v>
      </x:c>
      <x:c r="M197" s="8"/>
      <x:c r="N197" s="12" t="n">
        <x:f>Rules!$F$2</x:f>
        <x:v>0.2</x:v>
      </x:c>
      <x:c r="O197" s="10" t="n">
        <x:f>IF(M197="Verified",L197*N197,0)</x:f>
        <x:v>0</x:v>
      </x:c>
      <x:c r="P197" s="10" t="n">
        <x:f>IF(M197="Verified",L197-O197,0)</x:f>
        <x:v>0</x:v>
      </x:c>
      <x:c r="Q197" s="14"/>
      <x:c r="R197" s="8"/>
      <x:c r="S197" s="8"/>
      <x:c r="T197" s="14"/>
      <x:c r="U197" s="8"/>
    </x:row>
    <x:row r="198">
      <x:c r="A198" s="8" t="str">
        <x:f>IF(B198="","","WB-"&amp;TEXT(ROW()-1,"000"))</x:f>
      </x:c>
      <x:c r="B198" s="8"/>
      <x:c r="C198" s="8"/>
      <x:c r="D198" s="10"/>
      <x:c r="E198" s="8"/>
      <x:c r="F198" s="8"/>
      <x:c r="G198" s="8"/>
      <x:c r="H198" s="8"/>
      <x:c r="I198" s="8"/>
      <x:c r="J198" s="10"/>
      <x:c r="K198" s="10"/>
      <x:c r="L198" s="10" t="n">
        <x:f>IF(OR(D198="",K198=""),0,MAX(0,D198-K198))</x:f>
        <x:v>0</x:v>
      </x:c>
      <x:c r="M198" s="8"/>
      <x:c r="N198" s="12" t="n">
        <x:f>Rules!$F$2</x:f>
        <x:v>0.2</x:v>
      </x:c>
      <x:c r="O198" s="10" t="n">
        <x:f>IF(M198="Verified",L198*N198,0)</x:f>
        <x:v>0</x:v>
      </x:c>
      <x:c r="P198" s="10" t="n">
        <x:f>IF(M198="Verified",L198-O198,0)</x:f>
        <x:v>0</x:v>
      </x:c>
      <x:c r="Q198" s="14"/>
      <x:c r="R198" s="8"/>
      <x:c r="S198" s="8"/>
      <x:c r="T198" s="14"/>
      <x:c r="U198" s="8"/>
    </x:row>
    <x:row r="199">
      <x:c r="A199" s="8" t="str">
        <x:f>IF(B199="","","WB-"&amp;TEXT(ROW()-1,"000"))</x:f>
      </x:c>
      <x:c r="B199" s="8"/>
      <x:c r="C199" s="8"/>
      <x:c r="D199" s="10"/>
      <x:c r="E199" s="8"/>
      <x:c r="F199" s="8"/>
      <x:c r="G199" s="8"/>
      <x:c r="H199" s="8"/>
      <x:c r="I199" s="8"/>
      <x:c r="J199" s="10"/>
      <x:c r="K199" s="10"/>
      <x:c r="L199" s="10" t="n">
        <x:f>IF(OR(D199="",K199=""),0,MAX(0,D199-K199))</x:f>
        <x:v>0</x:v>
      </x:c>
      <x:c r="M199" s="8"/>
      <x:c r="N199" s="12" t="n">
        <x:f>Rules!$F$2</x:f>
        <x:v>0.2</x:v>
      </x:c>
      <x:c r="O199" s="10" t="n">
        <x:f>IF(M199="Verified",L199*N199,0)</x:f>
        <x:v>0</x:v>
      </x:c>
      <x:c r="P199" s="10" t="n">
        <x:f>IF(M199="Verified",L199-O199,0)</x:f>
        <x:v>0</x:v>
      </x:c>
      <x:c r="Q199" s="14"/>
      <x:c r="R199" s="8"/>
      <x:c r="S199" s="8"/>
      <x:c r="T199" s="14"/>
      <x:c r="U199" s="8"/>
    </x:row>
    <x:row r="200">
      <x:c r="A200" s="8" t="str">
        <x:f>IF(B200="","","WB-"&amp;TEXT(ROW()-1,"000"))</x:f>
      </x:c>
      <x:c r="B200" s="8"/>
      <x:c r="C200" s="8"/>
      <x:c r="D200" s="10"/>
      <x:c r="E200" s="8"/>
      <x:c r="F200" s="8"/>
      <x:c r="G200" s="8"/>
      <x:c r="H200" s="8"/>
      <x:c r="I200" s="8"/>
      <x:c r="J200" s="10"/>
      <x:c r="K200" s="10"/>
      <x:c r="L200" s="10" t="n">
        <x:f>IF(OR(D200="",K200=""),0,MAX(0,D200-K200))</x:f>
        <x:v>0</x:v>
      </x:c>
      <x:c r="M200" s="8"/>
      <x:c r="N200" s="12" t="n">
        <x:f>Rules!$F$2</x:f>
        <x:v>0.2</x:v>
      </x:c>
      <x:c r="O200" s="10" t="n">
        <x:f>IF(M200="Verified",L200*N200,0)</x:f>
        <x:v>0</x:v>
      </x:c>
      <x:c r="P200" s="10" t="n">
        <x:f>IF(M200="Verified",L200-O200,0)</x:f>
        <x:v>0</x:v>
      </x:c>
      <x:c r="Q200" s="14"/>
      <x:c r="R200" s="8"/>
      <x:c r="S200" s="8"/>
      <x:c r="T200" s="14"/>
      <x:c r="U200" s="8"/>
    </x:row>
    <x:row r="201">
      <x:c r="A201" s="8" t="str">
        <x:f>IF(B201="","","WB-"&amp;TEXT(ROW()-1,"000"))</x:f>
      </x:c>
      <x:c r="B201" s="8"/>
      <x:c r="C201" s="8"/>
      <x:c r="D201" s="10"/>
      <x:c r="E201" s="8"/>
      <x:c r="F201" s="8"/>
      <x:c r="G201" s="8"/>
      <x:c r="H201" s="8"/>
      <x:c r="I201" s="8"/>
      <x:c r="J201" s="10"/>
      <x:c r="K201" s="10"/>
      <x:c r="L201" s="10" t="n">
        <x:f>IF(OR(D201="",K201=""),0,MAX(0,D201-K201))</x:f>
        <x:v>0</x:v>
      </x:c>
      <x:c r="M201" s="8"/>
      <x:c r="N201" s="12" t="n">
        <x:f>Rules!$F$2</x:f>
        <x:v>0.2</x:v>
      </x:c>
      <x:c r="O201" s="10" t="n">
        <x:f>IF(M201="Verified",L201*N201,0)</x:f>
        <x:v>0</x:v>
      </x:c>
      <x:c r="P201" s="10" t="n">
        <x:f>IF(M201="Verified",L201-O201,0)</x:f>
        <x:v>0</x:v>
      </x:c>
      <x:c r="Q201" s="14"/>
      <x:c r="R201" s="8"/>
      <x:c r="S201" s="8"/>
      <x:c r="T201" s="14"/>
      <x:c r="U201" s="8"/>
    </x:row>
  </x:sheetData>
  <x:conditionalFormatting sqref="L2:L201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{56ABAA44-D578-D1B6-D25D-10E8FEFF47ED}</x14:id>
        </x:ext>
      </x:extLst>
    </x:cfRule>
  </x:conditionalFormatting>
  <x:conditionalFormatting sqref="M2:M201">
    <x:cfRule type="expression" dxfId="0" priority="2">
      <x:formula>M2="Verified"</x:formula>
    </x:cfRule>
    <x:cfRule type="expression" dxfId="1" priority="3">
      <x:formula>M2="Rejected"</x:formula>
    </x:cfRule>
  </x:conditionalFormatting>
  <x:dataValidations count="3">
    <x:dataValidation type="list" sqref="M2:M201">
      <x:formula1>Rules!$A$2:$A$7</x:formula1>
    </x:dataValidation>
    <x:dataValidation type="list" sqref="S2:S201">
      <x:formula1>Rules!$B$2:$B$4</x:formula1>
    </x:dataValidation>
    <x:dataValidation type="list" sqref="C2:C201">
      <x:formula1>Rules!$C$2:$C$7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d13c78634e46b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6ABAA44-D578-D1B6-D25D-10E8FEFF47ED}">
            <x14:dataBar gradient="1">
              <x14:cfvo type="min"/>
              <x14:cfvo type="max"/>
              <x14:fillColor rgb="FFA02B93"/>
            </x14:dataBar>
          </x14:cfRule>
          <xm:sqref>L2:L201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4" max="4" width="24" hidden="0" customWidth="1"/>
    <x:col min="5" max="5" width="42" hidden="0" customWidth="1"/>
  </x:cols>
  <x:sheetData>
    <x:row r="1">
      <x:c r="A1" s="23" t="str">
        <x:v>WASTEBounty Pilot Dashboard</x:v>
      </x:c>
      <x:c r="B1" s="23"/>
      <x:c r="C1" s="23"/>
      <x:c r="D1" s="23"/>
      <x:c r="E1" s="23"/>
      <x:c r="F1" s="23"/>
    </x:row>
    <x:row r="3">
      <x:c r="A3" s="3" t="str">
        <x:v>Metric</x:v>
      </x:c>
      <x:c r="B3" s="3" t="str">
        <x:v>Value</x:v>
      </x:c>
      <x:c r="D3" s="4" t="str">
        <x:v>Control</x:v>
      </x:c>
      <x:c r="E3" s="4" t="str">
        <x:v>Rule</x:v>
      </x:c>
    </x:row>
    <x:row r="4">
      <x:c r="A4" t="str">
        <x:v>Baseline Spend Reviewed</x:v>
      </x:c>
      <x:c r="B4" s="18" t="n">
        <x:f>SUM('Savings Register'!D2:D201)</x:f>
        <x:v>0</x:v>
      </x:c>
      <x:c r="D4" s="8" t="str">
        <x:v>Success Fee</x:v>
      </x:c>
      <x:c r="E4" s="8" t="str">
        <x:v>20% of mutually verified first-year savings</x:v>
      </x:c>
    </x:row>
    <x:row r="5">
      <x:c r="A5" t="str">
        <x:v>Estimated Savings Pipeline</x:v>
      </x:c>
      <x:c r="B5" s="18" t="n">
        <x:f>SUM('Savings Register'!J2:J201)</x:f>
        <x:v>0</x:v>
      </x:c>
      <x:c r="D5" s="8" t="str">
        <x:v>No verified savings</x:v>
      </x:c>
      <x:c r="E5" s="8" t="str">
        <x:v>$0 success fee</x:v>
      </x:c>
    </x:row>
    <x:row r="6">
      <x:c r="A6" t="str">
        <x:v>Verified Annual Savings</x:v>
      </x:c>
      <x:c r="B6" s="18" t="n">
        <x:f>SUM('Savings Register'!L2:L201)</x:f>
        <x:v>0</x:v>
      </x:c>
      <x:c r="D6" s="8" t="str">
        <x:v>Estimated savings</x:v>
      </x:c>
      <x:c r="E6" s="8" t="str">
        <x:v>Never billable</x:v>
      </x:c>
    </x:row>
    <x:row r="7">
      <x:c r="A7" t="str">
        <x:v>WASTEBounty Fee</x:v>
      </x:c>
      <x:c r="B7" s="18" t="n">
        <x:f>SUM('Savings Register'!O2:O201)</x:f>
        <x:v>0</x:v>
      </x:c>
      <x:c r="D7" s="8" t="str">
        <x:v>Account/vendor actions</x:v>
      </x:c>
      <x:c r="E7" s="8" t="str">
        <x:v>Explicit client authorization required</x:v>
      </x:c>
    </x:row>
    <x:row r="8">
      <x:c r="A8" t="str">
        <x:v>Client Retained Savings</x:v>
      </x:c>
      <x:c r="B8" s="18" t="n">
        <x:f>SUM('Savings Register'!P2:P201)</x:f>
        <x:v>0</x:v>
      </x:c>
      <x:c r="D8" s="8" t="str">
        <x:v>Initial access</x:v>
      </x:c>
      <x:c r="E8" s="8" t="str">
        <x:v>File/export or read-only evidence first</x:v>
      </x:c>
    </x:row>
    <x:row r="9">
      <x:c r="A9" t="str">
        <x:v>Verified Opportunities</x:v>
      </x:c>
      <x:c r="B9" t="n">
        <x:f>COUNTIF('Savings Register'!M2:M201,"Verified")</x:f>
        <x:v>0</x:v>
      </x:c>
    </x:row>
    <x:row r="10">
      <x:c r="A10" t="str">
        <x:v>Open Opportunities</x:v>
      </x:c>
      <x:c r="B10" t="n">
        <x:f>COUNTIF('Savings Register'!M2:M201,"Candidate")+COUNTIF('Savings Register'!M2:M201,"Needs Evidence")+COUNTIF('Savings Register'!M2:M201,"Approved - Pending")</x:f>
        <x:v>0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16" hidden="0" customWidth="1"/>
    <x:col min="8" max="8" width="20" hidden="0" customWidth="1"/>
    <x:col min="9" max="9" width="30" hidden="0" customWidth="1"/>
    <x:col min="10" max="10" width="28" hidden="0" customWidth="1"/>
  </x:cols>
  <x:sheetData>
    <x:row r="1">
      <x:c r="A1" s="3" t="str">
        <x:v>Vendor</x:v>
      </x:c>
      <x:c r="B1" s="3" t="str">
        <x:v>Category</x:v>
      </x:c>
      <x:c r="C1" s="3" t="str">
        <x:v>Monthly Cost</x:v>
      </x:c>
      <x:c r="D1" s="3" t="str">
        <x:v>Annual Cost</x:v>
      </x:c>
      <x:c r="E1" s="3" t="str">
        <x:v>Renewal Date</x:v>
      </x:c>
      <x:c r="F1" s="3" t="str">
        <x:v>Paid Seats/Units</x:v>
      </x:c>
      <x:c r="G1" s="3" t="str">
        <x:v>Active Seats/Units</x:v>
      </x:c>
      <x:c r="H1" s="3" t="str">
        <x:v>Department / Owner</x:v>
      </x:c>
      <x:c r="I1" s="3" t="str">
        <x:v>Evidence / File Reference</x:v>
      </x:c>
      <x:c r="J1" s="3" t="str">
        <x:v>Notes</x:v>
      </x:c>
    </x:row>
    <x:row r="2">
      <x:c r="A2"/>
      <x:c r="B2"/>
      <x:c r="C2" s="18"/>
      <x:c r="D2" s="18"/>
      <x:c r="E2" s="20"/>
      <x:c r="F2"/>
      <x:c r="G2"/>
      <x:c r="H2"/>
      <x:c r="I2"/>
      <x:c r="J2"/>
    </x:row>
    <x:row r="3">
      <x:c r="A3"/>
      <x:c r="B3"/>
      <x:c r="C3" s="18"/>
      <x:c r="D3" s="18"/>
      <x:c r="E3" s="20"/>
      <x:c r="F3"/>
      <x:c r="G3"/>
      <x:c r="H3"/>
      <x:c r="I3"/>
      <x:c r="J3"/>
    </x:row>
    <x:row r="4">
      <x:c r="A4"/>
      <x:c r="B4"/>
      <x:c r="C4" s="18"/>
      <x:c r="D4" s="18"/>
      <x:c r="E4" s="20"/>
      <x:c r="F4"/>
      <x:c r="G4"/>
      <x:c r="H4"/>
      <x:c r="I4"/>
      <x:c r="J4"/>
    </x:row>
    <x:row r="5">
      <x:c r="A5"/>
      <x:c r="B5"/>
      <x:c r="C5" s="18"/>
      <x:c r="D5" s="18"/>
      <x:c r="E5" s="20"/>
      <x:c r="F5"/>
      <x:c r="G5"/>
      <x:c r="H5"/>
      <x:c r="I5"/>
      <x:c r="J5"/>
    </x:row>
    <x:row r="6">
      <x:c r="A6"/>
      <x:c r="B6"/>
      <x:c r="C6" s="18"/>
      <x:c r="D6" s="18"/>
      <x:c r="E6" s="20"/>
      <x:c r="F6"/>
      <x:c r="G6"/>
      <x:c r="H6"/>
      <x:c r="I6"/>
      <x:c r="J6"/>
    </x:row>
    <x:row r="7">
      <x:c r="A7"/>
      <x:c r="B7"/>
      <x:c r="C7" s="18"/>
      <x:c r="D7" s="18"/>
      <x:c r="E7" s="20"/>
      <x:c r="F7"/>
      <x:c r="G7"/>
      <x:c r="H7"/>
      <x:c r="I7"/>
      <x:c r="J7"/>
    </x:row>
    <x:row r="8">
      <x:c r="A8"/>
      <x:c r="B8"/>
      <x:c r="C8" s="18"/>
      <x:c r="D8" s="18"/>
      <x:c r="E8" s="20"/>
      <x:c r="F8"/>
      <x:c r="G8"/>
      <x:c r="H8"/>
      <x:c r="I8"/>
      <x:c r="J8"/>
    </x:row>
    <x:row r="9">
      <x:c r="A9"/>
      <x:c r="B9"/>
      <x:c r="C9" s="18"/>
      <x:c r="D9" s="18"/>
      <x:c r="E9" s="20"/>
      <x:c r="F9"/>
      <x:c r="G9"/>
      <x:c r="H9"/>
      <x:c r="I9"/>
      <x:c r="J9"/>
    </x:row>
    <x:row r="10">
      <x:c r="A10"/>
      <x:c r="B10"/>
      <x:c r="C10" s="18"/>
      <x:c r="D10" s="18"/>
      <x:c r="E10" s="20"/>
      <x:c r="F10"/>
      <x:c r="G10"/>
      <x:c r="H10"/>
      <x:c r="I10"/>
      <x:c r="J10"/>
    </x:row>
    <x:row r="11">
      <x:c r="A11"/>
      <x:c r="B11"/>
      <x:c r="C11" s="18"/>
      <x:c r="D11" s="18"/>
      <x:c r="E11" s="20"/>
      <x:c r="F11"/>
      <x:c r="G11"/>
      <x:c r="H11"/>
      <x:c r="I11"/>
      <x:c r="J11"/>
    </x:row>
    <x:row r="12">
      <x:c r="A12"/>
      <x:c r="B12"/>
      <x:c r="C12" s="18"/>
      <x:c r="D12" s="18"/>
      <x:c r="E12" s="20"/>
      <x:c r="F12"/>
      <x:c r="G12"/>
      <x:c r="H12"/>
      <x:c r="I12"/>
      <x:c r="J12"/>
    </x:row>
    <x:row r="13">
      <x:c r="A13"/>
      <x:c r="B13"/>
      <x:c r="C13" s="18"/>
      <x:c r="D13" s="18"/>
      <x:c r="E13" s="20"/>
      <x:c r="F13"/>
      <x:c r="G13"/>
      <x:c r="H13"/>
      <x:c r="I13"/>
      <x:c r="J13"/>
    </x:row>
    <x:row r="14">
      <x:c r="A14"/>
      <x:c r="B14"/>
      <x:c r="C14" s="18"/>
      <x:c r="D14" s="18"/>
      <x:c r="E14" s="20"/>
      <x:c r="F14"/>
      <x:c r="G14"/>
      <x:c r="H14"/>
      <x:c r="I14"/>
      <x:c r="J14"/>
    </x:row>
    <x:row r="15">
      <x:c r="A15"/>
      <x:c r="B15"/>
      <x:c r="C15" s="18"/>
      <x:c r="D15" s="18"/>
      <x:c r="E15" s="20"/>
      <x:c r="F15"/>
      <x:c r="G15"/>
      <x:c r="H15"/>
      <x:c r="I15"/>
      <x:c r="J15"/>
    </x:row>
    <x:row r="16">
      <x:c r="A16"/>
      <x:c r="B16"/>
      <x:c r="C16" s="18"/>
      <x:c r="D16" s="18"/>
      <x:c r="E16" s="20"/>
      <x:c r="F16"/>
      <x:c r="G16"/>
      <x:c r="H16"/>
      <x:c r="I16"/>
      <x:c r="J16"/>
    </x:row>
    <x:row r="17">
      <x:c r="A17"/>
      <x:c r="B17"/>
      <x:c r="C17" s="18"/>
      <x:c r="D17" s="18"/>
      <x:c r="E17" s="20"/>
      <x:c r="F17"/>
      <x:c r="G17"/>
      <x:c r="H17"/>
      <x:c r="I17"/>
      <x:c r="J17"/>
    </x:row>
    <x:row r="18">
      <x:c r="A18"/>
      <x:c r="B18"/>
      <x:c r="C18" s="18"/>
      <x:c r="D18" s="18"/>
      <x:c r="E18" s="20"/>
      <x:c r="F18"/>
      <x:c r="G18"/>
      <x:c r="H18"/>
      <x:c r="I18"/>
      <x:c r="J18"/>
    </x:row>
    <x:row r="19">
      <x:c r="A19"/>
      <x:c r="B19"/>
      <x:c r="C19" s="18"/>
      <x:c r="D19" s="18"/>
      <x:c r="E19" s="20"/>
      <x:c r="F19"/>
      <x:c r="G19"/>
      <x:c r="H19"/>
      <x:c r="I19"/>
      <x:c r="J19"/>
    </x:row>
    <x:row r="20">
      <x:c r="A20"/>
      <x:c r="B20"/>
      <x:c r="C20" s="18"/>
      <x:c r="D20" s="18"/>
      <x:c r="E20" s="20"/>
      <x:c r="F20"/>
      <x:c r="G20"/>
      <x:c r="H20"/>
      <x:c r="I20"/>
      <x:c r="J20"/>
    </x:row>
    <x:row r="21">
      <x:c r="A21"/>
      <x:c r="B21"/>
      <x:c r="C21" s="18"/>
      <x:c r="D21" s="18"/>
      <x:c r="E21" s="20"/>
      <x:c r="F21"/>
      <x:c r="G21"/>
      <x:c r="H21"/>
      <x:c r="I21"/>
      <x:c r="J21"/>
    </x:row>
    <x:row r="22">
      <x:c r="A22"/>
      <x:c r="B22"/>
      <x:c r="C22" s="18"/>
      <x:c r="D22" s="18"/>
      <x:c r="E22" s="20"/>
      <x:c r="F22"/>
      <x:c r="G22"/>
      <x:c r="H22"/>
      <x:c r="I22"/>
      <x:c r="J22"/>
    </x:row>
    <x:row r="23">
      <x:c r="A23"/>
      <x:c r="B23"/>
      <x:c r="C23" s="18"/>
      <x:c r="D23" s="18"/>
      <x:c r="E23" s="20"/>
      <x:c r="F23"/>
      <x:c r="G23"/>
      <x:c r="H23"/>
      <x:c r="I23"/>
      <x:c r="J23"/>
    </x:row>
    <x:row r="24">
      <x:c r="A24"/>
      <x:c r="B24"/>
      <x:c r="C24" s="18"/>
      <x:c r="D24" s="18"/>
      <x:c r="E24" s="20"/>
      <x:c r="F24"/>
      <x:c r="G24"/>
      <x:c r="H24"/>
      <x:c r="I24"/>
      <x:c r="J24"/>
    </x:row>
    <x:row r="25">
      <x:c r="A25"/>
      <x:c r="B25"/>
      <x:c r="C25" s="18"/>
      <x:c r="D25" s="18"/>
      <x:c r="E25" s="20"/>
      <x:c r="F25"/>
      <x:c r="G25"/>
      <x:c r="H25"/>
      <x:c r="I25"/>
      <x:c r="J25"/>
    </x:row>
    <x:row r="26">
      <x:c r="A26"/>
      <x:c r="B26"/>
      <x:c r="C26" s="18"/>
      <x:c r="D26" s="18"/>
      <x:c r="E26" s="20"/>
      <x:c r="F26"/>
      <x:c r="G26"/>
      <x:c r="H26"/>
      <x:c r="I26"/>
      <x:c r="J26"/>
    </x:row>
    <x:row r="27">
      <x:c r="A27"/>
      <x:c r="B27"/>
      <x:c r="C27" s="18"/>
      <x:c r="D27" s="18"/>
      <x:c r="E27" s="20"/>
      <x:c r="F27"/>
      <x:c r="G27"/>
      <x:c r="H27"/>
      <x:c r="I27"/>
      <x:c r="J27"/>
    </x:row>
    <x:row r="28">
      <x:c r="A28"/>
      <x:c r="B28"/>
      <x:c r="C28" s="18"/>
      <x:c r="D28" s="18"/>
      <x:c r="E28" s="20"/>
      <x:c r="F28"/>
      <x:c r="G28"/>
      <x:c r="H28"/>
      <x:c r="I28"/>
      <x:c r="J28"/>
    </x:row>
    <x:row r="29">
      <x:c r="A29"/>
      <x:c r="B29"/>
      <x:c r="C29" s="18"/>
      <x:c r="D29" s="18"/>
      <x:c r="E29" s="20"/>
      <x:c r="F29"/>
      <x:c r="G29"/>
      <x:c r="H29"/>
      <x:c r="I29"/>
      <x:c r="J29"/>
    </x:row>
    <x:row r="30">
      <x:c r="A30"/>
      <x:c r="B30"/>
      <x:c r="C30" s="18"/>
      <x:c r="D30" s="18"/>
      <x:c r="E30" s="20"/>
      <x:c r="F30"/>
      <x:c r="G30"/>
      <x:c r="H30"/>
      <x:c r="I30"/>
      <x:c r="J30"/>
    </x:row>
    <x:row r="31">
      <x:c r="A31"/>
      <x:c r="B31"/>
      <x:c r="C31" s="18"/>
      <x:c r="D31" s="18"/>
      <x:c r="E31" s="20"/>
      <x:c r="F31"/>
      <x:c r="G31"/>
      <x:c r="H31"/>
      <x:c r="I31"/>
      <x:c r="J31"/>
    </x:row>
    <x:row r="32">
      <x:c r="A32"/>
      <x:c r="B32"/>
      <x:c r="C32" s="18"/>
      <x:c r="D32" s="18"/>
      <x:c r="E32" s="20"/>
      <x:c r="F32"/>
      <x:c r="G32"/>
      <x:c r="H32"/>
      <x:c r="I32"/>
      <x:c r="J32"/>
    </x:row>
    <x:row r="33">
      <x:c r="A33"/>
      <x:c r="B33"/>
      <x:c r="C33" s="18"/>
      <x:c r="D33" s="18"/>
      <x:c r="E33" s="20"/>
      <x:c r="F33"/>
      <x:c r="G33"/>
      <x:c r="H33"/>
      <x:c r="I33"/>
      <x:c r="J33"/>
    </x:row>
    <x:row r="34">
      <x:c r="A34"/>
      <x:c r="B34"/>
      <x:c r="C34" s="18"/>
      <x:c r="D34" s="18"/>
      <x:c r="E34" s="20"/>
      <x:c r="F34"/>
      <x:c r="G34"/>
      <x:c r="H34"/>
      <x:c r="I34"/>
      <x:c r="J34"/>
    </x:row>
    <x:row r="35">
      <x:c r="A35"/>
      <x:c r="B35"/>
      <x:c r="C35" s="18"/>
      <x:c r="D35" s="18"/>
      <x:c r="E35" s="20"/>
      <x:c r="F35"/>
      <x:c r="G35"/>
      <x:c r="H35"/>
      <x:c r="I35"/>
      <x:c r="J35"/>
    </x:row>
    <x:row r="36">
      <x:c r="A36"/>
      <x:c r="B36"/>
      <x:c r="C36" s="18"/>
      <x:c r="D36" s="18"/>
      <x:c r="E36" s="20"/>
      <x:c r="F36"/>
      <x:c r="G36"/>
      <x:c r="H36"/>
      <x:c r="I36"/>
      <x:c r="J36"/>
    </x:row>
    <x:row r="37">
      <x:c r="A37"/>
      <x:c r="B37"/>
      <x:c r="C37" s="18"/>
      <x:c r="D37" s="18"/>
      <x:c r="E37" s="20"/>
      <x:c r="F37"/>
      <x:c r="G37"/>
      <x:c r="H37"/>
      <x:c r="I37"/>
      <x:c r="J37"/>
    </x:row>
    <x:row r="38">
      <x:c r="A38"/>
      <x:c r="B38"/>
      <x:c r="C38" s="18"/>
      <x:c r="D38" s="18"/>
      <x:c r="E38" s="20"/>
      <x:c r="F38"/>
      <x:c r="G38"/>
      <x:c r="H38"/>
      <x:c r="I38"/>
      <x:c r="J38"/>
    </x:row>
    <x:row r="39">
      <x:c r="A39"/>
      <x:c r="B39"/>
      <x:c r="C39" s="18"/>
      <x:c r="D39" s="18"/>
      <x:c r="E39" s="20"/>
      <x:c r="F39"/>
      <x:c r="G39"/>
      <x:c r="H39"/>
      <x:c r="I39"/>
      <x:c r="J39"/>
    </x:row>
    <x:row r="40">
      <x:c r="A40"/>
      <x:c r="B40"/>
      <x:c r="C40" s="18"/>
      <x:c r="D40" s="18"/>
      <x:c r="E40" s="20"/>
      <x:c r="F40"/>
      <x:c r="G40"/>
      <x:c r="H40"/>
      <x:c r="I40"/>
      <x:c r="J40"/>
    </x:row>
    <x:row r="41">
      <x:c r="A41"/>
      <x:c r="B41"/>
      <x:c r="C41" s="18"/>
      <x:c r="D41" s="18"/>
      <x:c r="E41" s="20"/>
      <x:c r="F41"/>
      <x:c r="G41"/>
      <x:c r="H41"/>
      <x:c r="I41"/>
      <x:c r="J41"/>
    </x:row>
    <x:row r="42">
      <x:c r="A42"/>
      <x:c r="B42"/>
      <x:c r="C42" s="18"/>
      <x:c r="D42" s="18"/>
      <x:c r="E42" s="20"/>
      <x:c r="F42"/>
      <x:c r="G42"/>
      <x:c r="H42"/>
      <x:c r="I42"/>
      <x:c r="J42"/>
    </x:row>
    <x:row r="43">
      <x:c r="A43"/>
      <x:c r="B43"/>
      <x:c r="C43" s="18"/>
      <x:c r="D43" s="18"/>
      <x:c r="E43" s="20"/>
      <x:c r="F43"/>
      <x:c r="G43"/>
      <x:c r="H43"/>
      <x:c r="I43"/>
      <x:c r="J43"/>
    </x:row>
    <x:row r="44">
      <x:c r="A44"/>
      <x:c r="B44"/>
      <x:c r="C44" s="18"/>
      <x:c r="D44" s="18"/>
      <x:c r="E44" s="20"/>
      <x:c r="F44"/>
      <x:c r="G44"/>
      <x:c r="H44"/>
      <x:c r="I44"/>
      <x:c r="J44"/>
    </x:row>
    <x:row r="45">
      <x:c r="A45"/>
      <x:c r="B45"/>
      <x:c r="C45" s="18"/>
      <x:c r="D45" s="18"/>
      <x:c r="E45" s="20"/>
      <x:c r="F45"/>
      <x:c r="G45"/>
      <x:c r="H45"/>
      <x:c r="I45"/>
      <x:c r="J45"/>
    </x:row>
    <x:row r="46">
      <x:c r="A46"/>
      <x:c r="B46"/>
      <x:c r="C46" s="18"/>
      <x:c r="D46" s="18"/>
      <x:c r="E46" s="20"/>
      <x:c r="F46"/>
      <x:c r="G46"/>
      <x:c r="H46"/>
      <x:c r="I46"/>
      <x:c r="J46"/>
    </x:row>
    <x:row r="47">
      <x:c r="A47"/>
      <x:c r="B47"/>
      <x:c r="C47" s="18"/>
      <x:c r="D47" s="18"/>
      <x:c r="E47" s="20"/>
      <x:c r="F47"/>
      <x:c r="G47"/>
      <x:c r="H47"/>
      <x:c r="I47"/>
      <x:c r="J47"/>
    </x:row>
    <x:row r="48">
      <x:c r="A48"/>
      <x:c r="B48"/>
      <x:c r="C48" s="18"/>
      <x:c r="D48" s="18"/>
      <x:c r="E48" s="20"/>
      <x:c r="F48"/>
      <x:c r="G48"/>
      <x:c r="H48"/>
      <x:c r="I48"/>
      <x:c r="J48"/>
    </x:row>
    <x:row r="49">
      <x:c r="A49"/>
      <x:c r="B49"/>
      <x:c r="C49" s="18"/>
      <x:c r="D49" s="18"/>
      <x:c r="E49" s="20"/>
      <x:c r="F49"/>
      <x:c r="G49"/>
      <x:c r="H49"/>
      <x:c r="I49"/>
      <x:c r="J49"/>
    </x:row>
    <x:row r="50">
      <x:c r="A50"/>
      <x:c r="B50"/>
      <x:c r="C50" s="18"/>
      <x:c r="D50" s="18"/>
      <x:c r="E50" s="20"/>
      <x:c r="F50"/>
      <x:c r="G50"/>
      <x:c r="H50"/>
      <x:c r="I50"/>
      <x:c r="J50"/>
    </x:row>
    <x:row r="51">
      <x:c r="A51"/>
      <x:c r="B51"/>
      <x:c r="C51" s="18"/>
      <x:c r="D51" s="18"/>
      <x:c r="E51" s="20"/>
      <x:c r="F51"/>
      <x:c r="G51"/>
      <x:c r="H51"/>
      <x:c r="I51"/>
      <x:c r="J51"/>
    </x:row>
    <x:row r="52">
      <x:c r="A52"/>
      <x:c r="B52"/>
      <x:c r="C52" s="18"/>
      <x:c r="D52" s="18"/>
      <x:c r="E52" s="20"/>
      <x:c r="F52"/>
      <x:c r="G52"/>
      <x:c r="H52"/>
      <x:c r="I52"/>
      <x:c r="J52"/>
    </x:row>
    <x:row r="53">
      <x:c r="A53"/>
      <x:c r="B53"/>
      <x:c r="C53" s="18"/>
      <x:c r="D53" s="18"/>
      <x:c r="E53" s="20"/>
      <x:c r="F53"/>
      <x:c r="G53"/>
      <x:c r="H53"/>
      <x:c r="I53"/>
      <x:c r="J53"/>
    </x:row>
    <x:row r="54">
      <x:c r="A54"/>
      <x:c r="B54"/>
      <x:c r="C54" s="18"/>
      <x:c r="D54" s="18"/>
      <x:c r="E54" s="20"/>
      <x:c r="F54"/>
      <x:c r="G54"/>
      <x:c r="H54"/>
      <x:c r="I54"/>
      <x:c r="J54"/>
    </x:row>
    <x:row r="55">
      <x:c r="A55"/>
      <x:c r="B55"/>
      <x:c r="C55" s="18"/>
      <x:c r="D55" s="18"/>
      <x:c r="E55" s="20"/>
      <x:c r="F55"/>
      <x:c r="G55"/>
      <x:c r="H55"/>
      <x:c r="I55"/>
      <x:c r="J55"/>
    </x:row>
    <x:row r="56">
      <x:c r="A56"/>
      <x:c r="B56"/>
      <x:c r="C56" s="18"/>
      <x:c r="D56" s="18"/>
      <x:c r="E56" s="20"/>
      <x:c r="F56"/>
      <x:c r="G56"/>
      <x:c r="H56"/>
      <x:c r="I56"/>
      <x:c r="J56"/>
    </x:row>
    <x:row r="57">
      <x:c r="A57"/>
      <x:c r="B57"/>
      <x:c r="C57" s="18"/>
      <x:c r="D57" s="18"/>
      <x:c r="E57" s="20"/>
      <x:c r="F57"/>
      <x:c r="G57"/>
      <x:c r="H57"/>
      <x:c r="I57"/>
      <x:c r="J57"/>
    </x:row>
    <x:row r="58">
      <x:c r="A58"/>
      <x:c r="B58"/>
      <x:c r="C58" s="18"/>
      <x:c r="D58" s="18"/>
      <x:c r="E58" s="20"/>
      <x:c r="F58"/>
      <x:c r="G58"/>
      <x:c r="H58"/>
      <x:c r="I58"/>
      <x:c r="J58"/>
    </x:row>
    <x:row r="59">
      <x:c r="A59"/>
      <x:c r="B59"/>
      <x:c r="C59" s="18"/>
      <x:c r="D59" s="18"/>
      <x:c r="E59" s="20"/>
      <x:c r="F59"/>
      <x:c r="G59"/>
      <x:c r="H59"/>
      <x:c r="I59"/>
      <x:c r="J59"/>
    </x:row>
    <x:row r="60">
      <x:c r="A60"/>
      <x:c r="B60"/>
      <x:c r="C60" s="18"/>
      <x:c r="D60" s="18"/>
      <x:c r="E60" s="20"/>
      <x:c r="F60"/>
      <x:c r="G60"/>
      <x:c r="H60"/>
      <x:c r="I60"/>
      <x:c r="J60"/>
    </x:row>
    <x:row r="61">
      <x:c r="A61"/>
      <x:c r="B61"/>
      <x:c r="C61" s="18"/>
      <x:c r="D61" s="18"/>
      <x:c r="E61" s="20"/>
      <x:c r="F61"/>
      <x:c r="G61"/>
      <x:c r="H61"/>
      <x:c r="I61"/>
      <x:c r="J61"/>
    </x:row>
    <x:row r="62">
      <x:c r="A62"/>
      <x:c r="B62"/>
      <x:c r="C62" s="18"/>
      <x:c r="D62" s="18"/>
      <x:c r="E62" s="20"/>
      <x:c r="F62"/>
      <x:c r="G62"/>
      <x:c r="H62"/>
      <x:c r="I62"/>
      <x:c r="J62"/>
    </x:row>
    <x:row r="63">
      <x:c r="A63"/>
      <x:c r="B63"/>
      <x:c r="C63" s="18"/>
      <x:c r="D63" s="18"/>
      <x:c r="E63" s="20"/>
      <x:c r="F63"/>
      <x:c r="G63"/>
      <x:c r="H63"/>
      <x:c r="I63"/>
      <x:c r="J63"/>
    </x:row>
    <x:row r="64">
      <x:c r="A64"/>
      <x:c r="B64"/>
      <x:c r="C64" s="18"/>
      <x:c r="D64" s="18"/>
      <x:c r="E64" s="20"/>
      <x:c r="F64"/>
      <x:c r="G64"/>
      <x:c r="H64"/>
      <x:c r="I64"/>
      <x:c r="J64"/>
    </x:row>
    <x:row r="65">
      <x:c r="A65"/>
      <x:c r="B65"/>
      <x:c r="C65" s="18"/>
      <x:c r="D65" s="18"/>
      <x:c r="E65" s="20"/>
      <x:c r="F65"/>
      <x:c r="G65"/>
      <x:c r="H65"/>
      <x:c r="I65"/>
      <x:c r="J65"/>
    </x:row>
    <x:row r="66">
      <x:c r="A66"/>
      <x:c r="B66"/>
      <x:c r="C66" s="18"/>
      <x:c r="D66" s="18"/>
      <x:c r="E66" s="20"/>
      <x:c r="F66"/>
      <x:c r="G66"/>
      <x:c r="H66"/>
      <x:c r="I66"/>
      <x:c r="J66"/>
    </x:row>
    <x:row r="67">
      <x:c r="A67"/>
      <x:c r="B67"/>
      <x:c r="C67" s="18"/>
      <x:c r="D67" s="18"/>
      <x:c r="E67" s="20"/>
      <x:c r="F67"/>
      <x:c r="G67"/>
      <x:c r="H67"/>
      <x:c r="I67"/>
      <x:c r="J67"/>
    </x:row>
    <x:row r="68">
      <x:c r="A68"/>
      <x:c r="B68"/>
      <x:c r="C68" s="18"/>
      <x:c r="D68" s="18"/>
      <x:c r="E68" s="20"/>
      <x:c r="F68"/>
      <x:c r="G68"/>
      <x:c r="H68"/>
      <x:c r="I68"/>
      <x:c r="J68"/>
    </x:row>
    <x:row r="69">
      <x:c r="A69"/>
      <x:c r="B69"/>
      <x:c r="C69" s="18"/>
      <x:c r="D69" s="18"/>
      <x:c r="E69" s="20"/>
      <x:c r="F69"/>
      <x:c r="G69"/>
      <x:c r="H69"/>
      <x:c r="I69"/>
      <x:c r="J69"/>
    </x:row>
    <x:row r="70">
      <x:c r="A70"/>
      <x:c r="B70"/>
      <x:c r="C70" s="18"/>
      <x:c r="D70" s="18"/>
      <x:c r="E70" s="20"/>
      <x:c r="F70"/>
      <x:c r="G70"/>
      <x:c r="H70"/>
      <x:c r="I70"/>
      <x:c r="J70"/>
    </x:row>
    <x:row r="71">
      <x:c r="A71"/>
      <x:c r="B71"/>
      <x:c r="C71" s="18"/>
      <x:c r="D71" s="18"/>
      <x:c r="E71" s="20"/>
      <x:c r="F71"/>
      <x:c r="G71"/>
      <x:c r="H71"/>
      <x:c r="I71"/>
      <x:c r="J71"/>
    </x:row>
    <x:row r="72">
      <x:c r="A72"/>
      <x:c r="B72"/>
      <x:c r="C72" s="18"/>
      <x:c r="D72" s="18"/>
      <x:c r="E72" s="20"/>
      <x:c r="F72"/>
      <x:c r="G72"/>
      <x:c r="H72"/>
      <x:c r="I72"/>
      <x:c r="J72"/>
    </x:row>
    <x:row r="73">
      <x:c r="A73"/>
      <x:c r="B73"/>
      <x:c r="C73" s="18"/>
      <x:c r="D73" s="18"/>
      <x:c r="E73" s="20"/>
      <x:c r="F73"/>
      <x:c r="G73"/>
      <x:c r="H73"/>
      <x:c r="I73"/>
      <x:c r="J73"/>
    </x:row>
    <x:row r="74">
      <x:c r="A74"/>
      <x:c r="B74"/>
      <x:c r="C74" s="18"/>
      <x:c r="D74" s="18"/>
      <x:c r="E74" s="20"/>
      <x:c r="F74"/>
      <x:c r="G74"/>
      <x:c r="H74"/>
      <x:c r="I74"/>
      <x:c r="J74"/>
    </x:row>
    <x:row r="75">
      <x:c r="A75"/>
      <x:c r="B75"/>
      <x:c r="C75" s="18"/>
      <x:c r="D75" s="18"/>
      <x:c r="E75" s="20"/>
      <x:c r="F75"/>
      <x:c r="G75"/>
      <x:c r="H75"/>
      <x:c r="I75"/>
      <x:c r="J75"/>
    </x:row>
    <x:row r="76">
      <x:c r="A76"/>
      <x:c r="B76"/>
      <x:c r="C76" s="18"/>
      <x:c r="D76" s="18"/>
      <x:c r="E76" s="20"/>
      <x:c r="F76"/>
      <x:c r="G76"/>
      <x:c r="H76"/>
      <x:c r="I76"/>
      <x:c r="J76"/>
    </x:row>
    <x:row r="77">
      <x:c r="A77"/>
      <x:c r="B77"/>
      <x:c r="C77" s="18"/>
      <x:c r="D77" s="18"/>
      <x:c r="E77" s="20"/>
      <x:c r="F77"/>
      <x:c r="G77"/>
      <x:c r="H77"/>
      <x:c r="I77"/>
      <x:c r="J77"/>
    </x:row>
    <x:row r="78">
      <x:c r="A78"/>
      <x:c r="B78"/>
      <x:c r="C78" s="18"/>
      <x:c r="D78" s="18"/>
      <x:c r="E78" s="20"/>
      <x:c r="F78"/>
      <x:c r="G78"/>
      <x:c r="H78"/>
      <x:c r="I78"/>
      <x:c r="J78"/>
    </x:row>
    <x:row r="79">
      <x:c r="A79"/>
      <x:c r="B79"/>
      <x:c r="C79" s="18"/>
      <x:c r="D79" s="18"/>
      <x:c r="E79" s="20"/>
      <x:c r="F79"/>
      <x:c r="G79"/>
      <x:c r="H79"/>
      <x:c r="I79"/>
      <x:c r="J79"/>
    </x:row>
    <x:row r="80">
      <x:c r="A80"/>
      <x:c r="B80"/>
      <x:c r="C80" s="18"/>
      <x:c r="D80" s="18"/>
      <x:c r="E80" s="20"/>
      <x:c r="F80"/>
      <x:c r="G80"/>
      <x:c r="H80"/>
      <x:c r="I80"/>
      <x:c r="J80"/>
    </x:row>
    <x:row r="81">
      <x:c r="A81"/>
      <x:c r="B81"/>
      <x:c r="C81" s="18"/>
      <x:c r="D81" s="18"/>
      <x:c r="E81" s="20"/>
      <x:c r="F81"/>
      <x:c r="G81"/>
      <x:c r="H81"/>
      <x:c r="I81"/>
      <x:c r="J81"/>
    </x:row>
    <x:row r="82">
      <x:c r="A82"/>
      <x:c r="B82"/>
      <x:c r="C82" s="18"/>
      <x:c r="D82" s="18"/>
      <x:c r="E82" s="20"/>
      <x:c r="F82"/>
      <x:c r="G82"/>
      <x:c r="H82"/>
      <x:c r="I82"/>
      <x:c r="J82"/>
    </x:row>
    <x:row r="83">
      <x:c r="A83"/>
      <x:c r="B83"/>
      <x:c r="C83" s="18"/>
      <x:c r="D83" s="18"/>
      <x:c r="E83" s="20"/>
      <x:c r="F83"/>
      <x:c r="G83"/>
      <x:c r="H83"/>
      <x:c r="I83"/>
      <x:c r="J83"/>
    </x:row>
    <x:row r="84">
      <x:c r="A84"/>
      <x:c r="B84"/>
      <x:c r="C84" s="18"/>
      <x:c r="D84" s="18"/>
      <x:c r="E84" s="20"/>
      <x:c r="F84"/>
      <x:c r="G84"/>
      <x:c r="H84"/>
      <x:c r="I84"/>
      <x:c r="J84"/>
    </x:row>
    <x:row r="85">
      <x:c r="A85"/>
      <x:c r="B85"/>
      <x:c r="C85" s="18"/>
      <x:c r="D85" s="18"/>
      <x:c r="E85" s="20"/>
      <x:c r="F85"/>
      <x:c r="G85"/>
      <x:c r="H85"/>
      <x:c r="I85"/>
      <x:c r="J85"/>
    </x:row>
    <x:row r="86">
      <x:c r="A86"/>
      <x:c r="B86"/>
      <x:c r="C86" s="18"/>
      <x:c r="D86" s="18"/>
      <x:c r="E86" s="20"/>
      <x:c r="F86"/>
      <x:c r="G86"/>
      <x:c r="H86"/>
      <x:c r="I86"/>
      <x:c r="J86"/>
    </x:row>
    <x:row r="87">
      <x:c r="A87"/>
      <x:c r="B87"/>
      <x:c r="C87" s="18"/>
      <x:c r="D87" s="18"/>
      <x:c r="E87" s="20"/>
      <x:c r="F87"/>
      <x:c r="G87"/>
      <x:c r="H87"/>
      <x:c r="I87"/>
      <x:c r="J87"/>
    </x:row>
    <x:row r="88">
      <x:c r="A88"/>
      <x:c r="B88"/>
      <x:c r="C88" s="18"/>
      <x:c r="D88" s="18"/>
      <x:c r="E88" s="20"/>
      <x:c r="F88"/>
      <x:c r="G88"/>
      <x:c r="H88"/>
      <x:c r="I88"/>
      <x:c r="J88"/>
    </x:row>
    <x:row r="89">
      <x:c r="A89"/>
      <x:c r="B89"/>
      <x:c r="C89" s="18"/>
      <x:c r="D89" s="18"/>
      <x:c r="E89" s="20"/>
      <x:c r="F89"/>
      <x:c r="G89"/>
      <x:c r="H89"/>
      <x:c r="I89"/>
      <x:c r="J89"/>
    </x:row>
    <x:row r="90">
      <x:c r="A90"/>
      <x:c r="B90"/>
      <x:c r="C90" s="18"/>
      <x:c r="D90" s="18"/>
      <x:c r="E90" s="20"/>
      <x:c r="F90"/>
      <x:c r="G90"/>
      <x:c r="H90"/>
      <x:c r="I90"/>
      <x:c r="J90"/>
    </x:row>
    <x:row r="91">
      <x:c r="A91"/>
      <x:c r="B91"/>
      <x:c r="C91" s="18"/>
      <x:c r="D91" s="18"/>
      <x:c r="E91" s="20"/>
      <x:c r="F91"/>
      <x:c r="G91"/>
      <x:c r="H91"/>
      <x:c r="I91"/>
      <x:c r="J91"/>
    </x:row>
    <x:row r="92">
      <x:c r="A92"/>
      <x:c r="B92"/>
      <x:c r="C92" s="18"/>
      <x:c r="D92" s="18"/>
      <x:c r="E92" s="20"/>
      <x:c r="F92"/>
      <x:c r="G92"/>
      <x:c r="H92"/>
      <x:c r="I92"/>
      <x:c r="J92"/>
    </x:row>
    <x:row r="93">
      <x:c r="A93"/>
      <x:c r="B93"/>
      <x:c r="C93" s="18"/>
      <x:c r="D93" s="18"/>
      <x:c r="E93" s="20"/>
      <x:c r="F93"/>
      <x:c r="G93"/>
      <x:c r="H93"/>
      <x:c r="I93"/>
      <x:c r="J93"/>
    </x:row>
    <x:row r="94">
      <x:c r="A94"/>
      <x:c r="B94"/>
      <x:c r="C94" s="18"/>
      <x:c r="D94" s="18"/>
      <x:c r="E94" s="20"/>
      <x:c r="F94"/>
      <x:c r="G94"/>
      <x:c r="H94"/>
      <x:c r="I94"/>
      <x:c r="J94"/>
    </x:row>
    <x:row r="95">
      <x:c r="A95"/>
      <x:c r="B95"/>
      <x:c r="C95" s="18"/>
      <x:c r="D95" s="18"/>
      <x:c r="E95" s="20"/>
      <x:c r="F95"/>
      <x:c r="G95"/>
      <x:c r="H95"/>
      <x:c r="I95"/>
      <x:c r="J95"/>
    </x:row>
    <x:row r="96">
      <x:c r="A96"/>
      <x:c r="B96"/>
      <x:c r="C96" s="18"/>
      <x:c r="D96" s="18"/>
      <x:c r="E96" s="20"/>
      <x:c r="F96"/>
      <x:c r="G96"/>
      <x:c r="H96"/>
      <x:c r="I96"/>
      <x:c r="J96"/>
    </x:row>
    <x:row r="97">
      <x:c r="A97"/>
      <x:c r="B97"/>
      <x:c r="C97" s="18"/>
      <x:c r="D97" s="18"/>
      <x:c r="E97" s="20"/>
      <x:c r="F97"/>
      <x:c r="G97"/>
      <x:c r="H97"/>
      <x:c r="I97"/>
      <x:c r="J97"/>
    </x:row>
    <x:row r="98">
      <x:c r="A98"/>
      <x:c r="B98"/>
      <x:c r="C98" s="18"/>
      <x:c r="D98" s="18"/>
      <x:c r="E98" s="20"/>
      <x:c r="F98"/>
      <x:c r="G98"/>
      <x:c r="H98"/>
      <x:c r="I98"/>
      <x:c r="J98"/>
    </x:row>
    <x:row r="99">
      <x:c r="A99"/>
      <x:c r="B99"/>
      <x:c r="C99" s="18"/>
      <x:c r="D99" s="18"/>
      <x:c r="E99" s="20"/>
      <x:c r="F99"/>
      <x:c r="G99"/>
      <x:c r="H99"/>
      <x:c r="I99"/>
      <x:c r="J99"/>
    </x:row>
    <x:row r="100">
      <x:c r="A100"/>
      <x:c r="B100"/>
      <x:c r="C100" s="18"/>
      <x:c r="D100" s="18"/>
      <x:c r="E100" s="20"/>
      <x:c r="F100"/>
      <x:c r="G100"/>
      <x:c r="H100"/>
      <x:c r="I100"/>
      <x:c r="J100"/>
    </x:row>
    <x:row r="101">
      <x:c r="A101"/>
      <x:c r="B101"/>
      <x:c r="C101" s="18"/>
      <x:c r="D101" s="18"/>
      <x:c r="E101" s="20"/>
      <x:c r="F101"/>
      <x:c r="G101"/>
      <x:c r="H101"/>
      <x:c r="I101"/>
      <x:c r="J101"/>
    </x:row>
  </x:sheetData>
  <x:pageMargins left="0.7" right="0.7" top="0.75" bottom="0.75" header="0.3" footer="0.3"/>
  <x:tableParts count="1">
    <x:tablePart xmlns:r="http://schemas.openxmlformats.org/officeDocument/2006/relationships" r:id="R3afefa01ece24151"/>
  </x:tableParts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3" t="str">
        <x:v>Status</x:v>
      </x:c>
      <x:c r="B1" s="3" t="str">
        <x:v>Confidence</x:v>
      </x:c>
      <x:c r="C1" s="3" t="str">
        <x:v>Category</x:v>
      </x:c>
      <x:c r="E1" s="3" t="str">
        <x:v>Rule</x:v>
      </x:c>
      <x:c r="F1" s="3" t="str">
        <x:v>Value</x:v>
      </x:c>
    </x:row>
    <x:row r="2">
      <x:c r="A2" t="str">
        <x:v>Candidate</x:v>
      </x:c>
      <x:c r="B2" t="str">
        <x:v>High</x:v>
      </x:c>
      <x:c r="C2" t="str">
        <x:v>SaaS</x:v>
      </x:c>
      <x:c r="E2" t="str">
        <x:v>Default Success Fee Rate</x:v>
      </x:c>
      <x:c r="F2" s="16" t="n">
        <x:v>0.2</x:v>
      </x:c>
    </x:row>
    <x:row r="3">
      <x:c r="A3" t="str">
        <x:v>Needs Evidence</x:v>
      </x:c>
      <x:c r="B3" t="str">
        <x:v>Medium</x:v>
      </x:c>
      <x:c r="C3" t="str">
        <x:v>AI</x:v>
      </x:c>
      <x:c r="E3" t="str">
        <x:v>Estimated savings billable?</x:v>
      </x:c>
      <x:c r="F3" t="str">
        <x:v>No</x:v>
      </x:c>
    </x:row>
    <x:row r="4">
      <x:c r="A4" t="str">
        <x:v>Approved - Pending</x:v>
      </x:c>
      <x:c r="B4" t="str">
        <x:v>Low</x:v>
      </x:c>
      <x:c r="C4" t="str">
        <x:v>Cloud</x:v>
      </x:c>
      <x:c r="E4" t="str">
        <x:v>Account changes without approval?</x:v>
      </x:c>
      <x:c r="F4" t="str">
        <x:v>No</x:v>
      </x:c>
    </x:row>
    <x:row r="5">
      <x:c r="A5" t="str">
        <x:v>Rejected</x:v>
      </x:c>
      <x:c r="C5" t="str">
        <x:v>Telecom</x:v>
      </x:c>
      <x:c r="E5" t="str">
        <x:v>Baseline required before counting savings?</x:v>
      </x:c>
      <x:c r="F5" t="str">
        <x:v>Yes</x:v>
      </x:c>
    </x:row>
    <x:row r="6">
      <x:c r="A6" t="str">
        <x:v>Verified</x:v>
      </x:c>
      <x:c r="C6" t="str">
        <x:v>Vendor</x:v>
      </x:c>
    </x:row>
    <x:row r="7">
      <x:c r="A7" t="str">
        <x:v>Closed</x:v>
      </x:c>
      <x:c r="C7" t="str">
        <x:v>Other</x:v>
      </x:c>
    </x:row>
  </x:sheetData>
  <x:pageMargins left="0.7" right="0.7" top="0.75" bottom="0.75" header="0.3" footer="0.3"/>
</x:worksheet>
</file>