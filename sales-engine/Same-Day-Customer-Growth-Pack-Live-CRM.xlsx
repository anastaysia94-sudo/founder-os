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w Lead Queue" sheetId="1" r:id="rId1"/>
    <sheet name="Scripts" sheetId="2" r:id="rId2"/>
    <sheet name="Pipeline" sheetId="3" r:id="rId3"/>
    <sheet name="Actual Outreach History" sheetId="4" r:id="rId4"/>
    <sheet name="Archived Leads" sheetId="5" r:id="rId5"/>
    <sheet name="Sources" sheetId="6" r:id="rId6"/>
    <sheet name="Dashboard" sheetId="7" r:id="rId7"/>
    <sheet name="Update Rules" sheetId="8" r:id="rId8"/>
    <sheet name="Refresh Log" sheetId="9" r:id="rId9"/>
  </sheets>
  <definedNames>
    <definedName name="_xlnm._FilterDatabase" localSheetId="0" hidden="1">'New Lead Queue'!$A$1:$O$11</definedName>
    <definedName name="_xlnm._FilterDatabase" localSheetId="2" hidden="1">Pipeline!$A$1:$R$44</definedName>
  </definedNames>
  <calcPr calcId="124519" fullCalcOnLoad="1"/>
</workbook>
</file>

<file path=xl/sharedStrings.xml><?xml version="1.0" encoding="utf-8"?>
<sst xmlns="http://schemas.openxmlformats.org/spreadsheetml/2006/main" count="890" uniqueCount="378">
  <si>
    <t>Rank</t>
  </si>
  <si>
    <t>Business</t>
  </si>
  <si>
    <t>Category</t>
  </si>
  <si>
    <t>City</t>
  </si>
  <si>
    <t>Tier</t>
  </si>
  <si>
    <t>Verified Opportunity</t>
  </si>
  <si>
    <t>Phone</t>
  </si>
  <si>
    <t>Email</t>
  </si>
  <si>
    <t>Reachability</t>
  </si>
  <si>
    <t>Angle</t>
  </si>
  <si>
    <t>Subject</t>
  </si>
  <si>
    <t>Individualized Initial Pitch</t>
  </si>
  <si>
    <t>Source URL</t>
  </si>
  <si>
    <t>Verified</t>
  </si>
  <si>
    <t>Status</t>
  </si>
  <si>
    <t>Roof Geeks</t>
  </si>
  <si>
    <t>Roofing / Residential &amp; Commercial</t>
  </si>
  <si>
    <t>Shingle Springs / Greater Sacramento, CA</t>
  </si>
  <si>
    <t>A</t>
  </si>
  <si>
    <t>Official contact page publishes info@roofgeeksca.com, free roofing estimates, emergency leak response, Monday-Saturday hours, and same-day responses during business hours.</t>
  </si>
  <si>
    <t>info@roofgeeksca.com</t>
  </si>
  <si>
    <t>Direct email; free estimate; same-day business-hours response; emergency leak service</t>
  </si>
  <si>
    <t>Turn fast estimate response into repair-vs-replacement readiness that captures roof age, leak location, urgency, property type and photos before inspection.</t>
  </si>
  <si>
    <t>Same-day roof-readiness campaign for Roof Geeks</t>
  </si>
  <si>
    <t>Hi — I reviewed Roof Geeks’ current estimate flow and noticed you offer free estimates, emergency leak response and same-day replies during business hours. I’d turn that into a repair-versus-replacement readiness campaign that helps property owners organize roof age, leak location, urgency, property type and photos before your team responds. Same-Day Customer Growth Pack: $150 flat. Want two Roof Geeks-specific examples first?</t>
  </si>
  <si>
    <t>https://roofgeeksca.com/contact</t>
  </si>
  <si>
    <t>2026-09-29</t>
  </si>
  <si>
    <t>Contact Ready</t>
  </si>
  <si>
    <t>Elite HVAC</t>
  </si>
  <si>
    <t>HVAC / Heating &amp; Air Conditioning</t>
  </si>
  <si>
    <t>Agoura Hills / Los Angeles &amp; Ventura Counties, CA</t>
  </si>
  <si>
    <t>Official contact page publishes info@elitehvac.us, free estimates, online scheduling with confirmation within minutes, a stated 24-hour email response, Monday-Saturday hours and 24/7 emergency service.</t>
  </si>
  <si>
    <t>info@elitehvac.us</t>
  </si>
  <si>
    <t>Direct email; free estimate; booking confirmation within minutes; 24-hour email response; 24/7 emergency service</t>
  </si>
  <si>
    <t>Separate emergency repair from planned replacement and collect system type, symptoms, property type, equipment age and urgency before dispatch.</t>
  </si>
  <si>
    <t>Fast HVAC lead-routing campaign for Elite HVAC</t>
  </si>
  <si>
    <t>Hi — I reviewed Elite HVAC’s current booking flow and noticed you offer free estimates, appointment confirmation within minutes and 24/7 emergency service. I’d turn that into an emergency-versus-planned HVAC routing campaign that captures system type, symptoms, property type, equipment age and urgency before dispatch. Same-Day Customer Growth Pack: $150 flat. Want two Elite-specific examples first?</t>
  </si>
  <si>
    <t>https://www.elitehvac.us/contact</t>
  </si>
  <si>
    <t>Smart Choice</t>
  </si>
  <si>
    <t>HVAC / Construction / Property Improvements</t>
  </si>
  <si>
    <t>Palmdale / Los Angeles County, CA</t>
  </si>
  <si>
    <t>Official contact page publishes hvacsmartchoice@gmail.com, free estimates, same-day response positioning, seven-day hours and a licensed project-manager callback within 24 hours.</t>
  </si>
  <si>
    <t>hvacsmartchoice@gmail.com</t>
  </si>
  <si>
    <t>Direct email; free estimate; same-day positioning; project-manager callback within 24 hours; seven-day hours</t>
  </si>
  <si>
    <t>Route HVAC, remodeling and commercial inquiries by service type, urgency, property type, scope and timeline before the project-manager callback.</t>
  </si>
  <si>
    <t>Same-day service-routing campaign for Smart Choice</t>
  </si>
  <si>
    <t>Hi — I reviewed Smart Choice’s current estimate flow and noticed you offer free estimates, same-day response positioning and a licensed project-manager follow-up within 24 hours. I’d turn that into a service-routing campaign that separates HVAC, remodeling and commercial inquiries while collecting urgency, property type, scope and timeline before the callback. Same-Day Customer Growth Pack: $150 flat. Want two Smart Choice-specific examples first?</t>
  </si>
  <si>
    <t>https://smartchoicegeneral.com/contact</t>
  </si>
  <si>
    <t>Sacramento Roofing Inc</t>
  </si>
  <si>
    <t>Roofing / Repair &amp; Replacement</t>
  </si>
  <si>
    <t>Sacramento, CA</t>
  </si>
  <si>
    <t>Official site publishes sacramentoroofinginc@gmail.com, free inspections and estimates, same-day response, emergency routing and current financing offers for roof replacement.</t>
  </si>
  <si>
    <t>sacramentoroofinginc@gmail.com</t>
  </si>
  <si>
    <t>Direct email; free inspection/estimate; same-day response; emergency routing</t>
  </si>
  <si>
    <t>Qualify repair-vs-replacement inquiries by roof age, leak symptoms, visible damage, urgency and financing interest before estimate follow-up.</t>
  </si>
  <si>
    <t>Same-day roofing qualification campaign for Sacramento Roofing</t>
  </si>
  <si>
    <t>Hi — I reviewed Sacramento Roofing Inc’s current estimate flow and noticed you offer free inspections, same-day responses and emergency routing. I’d turn that into a repair-versus-replacement qualification campaign that captures roof age, leak symptoms, visible damage, urgency and financing interest before the estimate follow-up. Same-Day Customer Growth Pack: $150 flat. Want two Sacramento Roofing-specific examples first?</t>
  </si>
  <si>
    <t>https://sacramento-roofing.com/contact</t>
  </si>
  <si>
    <t>Hernandez Quality Painting</t>
  </si>
  <si>
    <t>Painting / Residential &amp; Commercial</t>
  </si>
  <si>
    <t>Lompoc / Central Coast, CA</t>
  </si>
  <si>
    <t>Official site publishes qualitypaintingsb@gmail.com, states Armando personally reviews inquiries and responds within 24 hours, then schedules an on-site consultation and written quote.</t>
  </si>
  <si>
    <t>qualitypaintingsb@gmail.com</t>
  </si>
  <si>
    <t>Direct email; owner-reviewed inquiry; 24-hour response; on-site consultation; written quote</t>
  </si>
  <si>
    <t>Pre-qualify painting inquiries with surface type, rooms/areas, repair needs, finish/color decisions, photos and timing before the site visit.</t>
  </si>
  <si>
    <t>24-hour painting project-prep campaign for Hernandez</t>
  </si>
  <si>
    <t>Hi — I reviewed Hernandez Quality Painting’s current inquiry flow and noticed Armando personally reviews inquiries within 24 hours before the on-site consultation and written quote. I’d turn that into a painting project-prep campaign that captures surface type, rooms or exterior areas, repair needs, finish decisions, photos and timing before the visit. Same-Day Customer Growth Pack: $150 flat. Want two Hernandez-specific examples first?</t>
  </si>
  <si>
    <t>https://hernandezqualitypaintingsb.com/contact/</t>
  </si>
  <si>
    <t>VMK Construction</t>
  </si>
  <si>
    <t>General Construction / ADU / Remodeling</t>
  </si>
  <si>
    <t>SF Bay Area &amp; Greater Sacramento, CA</t>
  </si>
  <si>
    <t>Official contact page publishes vmkconstruction4u@gmail.com, a free consultation, stated response within 24 hours and ADU/remodel specialization.</t>
  </si>
  <si>
    <t>vmkconstruction4u@gmail.com</t>
  </si>
  <si>
    <t>Direct email; free consultation; stated 24-hour response; Saturday by appointment</t>
  </si>
  <si>
    <t>Prepare ADU/remodel prospects with project type, property constraints, approximate scope, timeline, budget questions and permit concerns before consultation.</t>
  </si>
  <si>
    <t>24-hour ADU readiness campaign for VMK Construction</t>
  </si>
  <si>
    <t>Hi — I reviewed VMK Construction’s current consultation flow and noticed you offer free ADU/remodel consultations with a stated 24-hour response. I’d turn that into a project-readiness campaign that helps prospects organize project type, property constraints, approximate scope, timeline, budget questions and permit concerns before consultation. Same-Day Customer Growth Pack: $150 flat. Want two VMK-specific examples first?</t>
  </si>
  <si>
    <t>https://www.vmk-construction.com/contact</t>
  </si>
  <si>
    <t>SoCal ADU Pro</t>
  </si>
  <si>
    <t>ADU / Design-Build Construction</t>
  </si>
  <si>
    <t>Southern California</t>
  </si>
  <si>
    <t>Official site publishes info@socaladupro.com, a free ADU consultation, stated 24-hour response and turnkey design, permits and construction.</t>
  </si>
  <si>
    <t>info@socaladupro.com</t>
  </si>
  <si>
    <t>Direct email; free consultation; stated 24-hour response; Saturday hours</t>
  </si>
  <si>
    <t>Turn free consultations into ADU feasibility briefs covering lot/property basics, desired size/use, budget range, timeline and permit questions.</t>
  </si>
  <si>
    <t>24-hour ADU feasibility campaign for SoCal ADU Pro</t>
  </si>
  <si>
    <t>Hi — I reviewed SoCal ADU Pro’s current consultation flow and noticed you offer free consultations with a stated 24-hour response across turnkey design, permits and construction. I’d turn that into an ADU feasibility campaign that helps homeowners organize property basics, desired size and use, budget range, timeline and permit questions before your team responds. Same-Day Customer Growth Pack: $150 flat. Want two SoCal ADU Pro-specific examples first?</t>
  </si>
  <si>
    <t>https://www.socaladupro.com/</t>
  </si>
  <si>
    <t>Yealpha Construction &amp; Energy</t>
  </si>
  <si>
    <t>Construction / ADU / Remodeling / Energy</t>
  </si>
  <si>
    <t>Official site publishes cs@yealpha.com, free consultation and estimate, response within 24 hours and usually same day across ADU, remodeling, solar, battery and electrical services.</t>
  </si>
  <si>
    <t>cs@yealpha.com</t>
  </si>
  <si>
    <t>Direct email; free consultation/estimate; usually same-day response; multiple high-ticket services</t>
  </si>
  <si>
    <t>Route construction-versus-energy inquiries and capture project type, property details, goals, urgency, budget range and timeline before consultation.</t>
  </si>
  <si>
    <t>Same-day project-routing campaign for Yealpha</t>
  </si>
  <si>
    <t>Hi — I reviewed Yealpha’s current inquiry flow and noticed you offer free consultations and estimates with responses usually the same day across ADUs, remodeling and energy projects. I’d turn that into a project-routing campaign that separates construction from energy inquiries while collecting property details, goals, urgency, budget range and timeline before consultation. Same-Day Customer Growth Pack: $150 flat. Want two Yealpha-specific examples first?</t>
  </si>
  <si>
    <t>https://www.yealpha.com/</t>
  </si>
  <si>
    <t>Priority One Builders</t>
  </si>
  <si>
    <t>General Construction / ADU / Additions / Multifamily</t>
  </si>
  <si>
    <t>Pasadena / Greater Los Angeles, CA</t>
  </si>
  <si>
    <t>Official site publishes info@p1build.com, free consultation and estimate, stated 24-hour response, Saturday hours and high-ticket ADU/addition/multifamily services.</t>
  </si>
  <si>
    <t>info@p1build.com</t>
  </si>
  <si>
    <t>Direct email; free consultation/estimate; stated 24-hour response; Saturday hours</t>
  </si>
  <si>
    <t>Create a project-readiness intake around build type, property conditions, desired outcome, budget range, timeline and permit questions.</t>
  </si>
  <si>
    <t>24-hour project-readiness campaign for Priority One</t>
  </si>
  <si>
    <t>Hi — I reviewed Priority One Builders’ current consultation flow and noticed you offer free consultations and estimates with a stated 24-hour response for ADUs, additions and larger construction projects. I’d turn that into a project-readiness campaign that captures build type, property conditions, desired outcome, budget range, timeline and permit questions before consultation. Same-Day Customer Growth Pack: $150 flat. Want two Priority One-specific examples first?</t>
  </si>
  <si>
    <t>https://p1build.com/</t>
  </si>
  <si>
    <t>Hammertime 24/7 Inc.</t>
  </si>
  <si>
    <t>General Construction / ADU / Design-Build</t>
  </si>
  <si>
    <t>Temecula / Southern California</t>
  </si>
  <si>
    <t>Official site publishes joey@hammertime247.com, free on-site consultation, stated one-business-day/24-hour response, itemized fixed-price proposals and a direct line to the owner.</t>
  </si>
  <si>
    <t>joey@hammertime247.com</t>
  </si>
  <si>
    <t>Direct owner email; free on-site consultation; 24-hour response; itemized fixed-price proposal</t>
  </si>
  <si>
    <t>Prepare construction prospects with project type, site conditions, goals, approximate scope, timeline and budget before the owner consultation.</t>
  </si>
  <si>
    <t>24-hour consultation-prep campaign for Hammertime 24/7</t>
  </si>
  <si>
    <t>Hi — I reviewed Hammertime 24/7’s current project flow and noticed you offer free on-site consultations, itemized fixed-price proposals and responses within one business day. I’d turn that into a consultation-prep campaign that helps prospects organize project type, site conditions, goals, approximate scope, timeline and budget before the owner conversation. Same-Day Customer Growth Pack: $150 flat. Want two Hammertime-specific examples first?</t>
  </si>
  <si>
    <t>https://www.hammertime247inc.com/</t>
  </si>
  <si>
    <t>Script ID</t>
  </si>
  <si>
    <t>Stage</t>
  </si>
  <si>
    <t>When to Use</t>
  </si>
  <si>
    <t>Copy</t>
  </si>
  <si>
    <t>S01</t>
  </si>
  <si>
    <t>Initial framework</t>
  </si>
  <si>
    <t>First contact</t>
  </si>
  <si>
    <t>Subject: 2 ideas for [BUSINESS]’s [VERIFIED OPPORTUNITY]
Hi — I was researching [CATEGORY] businesses and noticed [ONE VERIFIED FACT].
I think there’s a specific customer-growth opportunity around: “[BUSINESS-SPECIFIC ANGLE]”
I can turn that into ready-to-use Google/social posts, customer follow-ups, genuine review-request copy, FAQs, one promotional email and a 30-day use calendar.
Same-Day Customer Growth Pack: $150 flat, no subscription.
I already drafted two [BUSINESS]-specific examples. Want me to send them?</t>
  </si>
  <si>
    <t>S02</t>
  </si>
  <si>
    <t>Follow-up 1</t>
  </si>
  <si>
    <t>1–2 business days after no reply</t>
  </si>
  <si>
    <t>Hi — following up on the idea I sent for [BUSINESS]. If the full package isn’t useful yet, I can send the two business-specific samples first so you can judge the quality before deciding. No obligation.</t>
  </si>
  <si>
    <t>S03</t>
  </si>
  <si>
    <t>Follow-up 2</t>
  </si>
  <si>
    <t>Final cold follow-up</t>
  </si>
  <si>
    <t>Last note from me — I’ll close the loop unless you’d like the two [BUSINESS]-specific examples. If you’d rather not receive future outreach, just reply “no thanks” and I’ll suppress the contact.</t>
  </si>
  <si>
    <t>S04</t>
  </si>
  <si>
    <t>Yes / send samples</t>
  </si>
  <si>
    <t>Prospect asks to see examples</t>
  </si>
  <si>
    <t>Absolutely — here are the two samples. If the direction fits, I can complete the full Same-Day Customer Growth Pack: customized campaign angle, Google/social posts, FAQs, customer/estimate follow-ups, genuine review-request copy, one promotional email, CTA variants and a 30-day use calendar. Starter pack: $150 flat, no subscription.</t>
  </si>
  <si>
    <t>S05</t>
  </si>
  <si>
    <t>Price</t>
  </si>
  <si>
    <t>Prospect asks price</t>
  </si>
  <si>
    <t>The starter pack is $150 flat with no subscription. It includes the customized campaign angle, ready-to-publish posts, customer/estimate follow-ups, genuine review-request copy, FAQs, one promotional email, CTA variants and a 30-day use calendar. I don’t guarantee a specific number of leads or revenue; the deliverable is the completed business-specific marketing and follow-up system.</t>
  </si>
  <si>
    <t>S06</t>
  </si>
  <si>
    <t>Not now</t>
  </si>
  <si>
    <t>Prospect defers</t>
  </si>
  <si>
    <t>No problem. I’ll leave it here and won’t keep following up. If [VERIFIED OPPORTUNITY] becomes a priority later, you can reply to this thread and I can pick it back up.</t>
  </si>
  <si>
    <t>S07</t>
  </si>
  <si>
    <t>Already have marketing</t>
  </si>
  <si>
    <t>Existing agency/provider objection</t>
  </si>
  <si>
    <t>Makes sense. I’m not trying to replace your agency or existing marketing. This is a small fixed-scope pack built around one current offer/service opportunity — useful as an extra campaign, follow-up sequence, or customer-education asset. If that’s not useful, no problem and I’ll close the loop.</t>
  </si>
  <si>
    <t>S08</t>
  </si>
  <si>
    <t>Guarantee?</t>
  </si>
  <si>
    <t>Prospect asks for guaranteed results</t>
  </si>
  <si>
    <t>No — I don’t guarantee leads, rankings, bookings or revenue. What I can guarantee is the agreed deliverable: a completed, customized pack based on your approved facts and offer, with no fabricated testimonials or performance claims.</t>
  </si>
  <si>
    <t>S09</t>
  </si>
  <si>
    <t>Close</t>
  </si>
  <si>
    <t>Prospect is ready to buy</t>
  </si>
  <si>
    <t>Great — I’ll send the short intake first so I use only your approved service details, contact information and offer terms. Once payment is confirmed, I’ll complete the agreed pack and send the finished copy in one handoff.</t>
  </si>
  <si>
    <t>Lead</t>
  </si>
  <si>
    <t>Priority</t>
  </si>
  <si>
    <t>Channel</t>
  </si>
  <si>
    <t>First Touch</t>
  </si>
  <si>
    <t>FU1 Due</t>
  </si>
  <si>
    <t>FU1 Sent</t>
  </si>
  <si>
    <t>FU2 Due</t>
  </si>
  <si>
    <t>FU2 Sent</t>
  </si>
  <si>
    <t>Reply</t>
  </si>
  <si>
    <t>Quoted $</t>
  </si>
  <si>
    <t>Paid $</t>
  </si>
  <si>
    <t>Fulfilled</t>
  </si>
  <si>
    <t>Next Action</t>
  </si>
  <si>
    <t>Opt Out</t>
  </si>
  <si>
    <t>Last Verified</t>
  </si>
  <si>
    <t>Source</t>
  </si>
  <si>
    <t>Offer Value $</t>
  </si>
  <si>
    <t>FloodDry Water Damage Restoration</t>
  </si>
  <si>
    <t>Follow-up</t>
  </si>
  <si>
    <t>email</t>
  </si>
  <si>
    <t>2026-09-05T22:50:24-07:00</t>
  </si>
  <si>
    <t>2026-09-08</t>
  </si>
  <si>
    <t>2026-09-08T16:45:47-07:00</t>
  </si>
  <si>
    <t>Contacted</t>
  </si>
  <si>
    <t>Two verified outbound emails, no inbound reply found through 2026-09-12. Do not send another cold touch now.</t>
  </si>
  <si>
    <t>Therma Tech</t>
  </si>
  <si>
    <t>2026-09-05T20:01:38-07:00</t>
  </si>
  <si>
    <t>2026-09-07</t>
  </si>
  <si>
    <t>2026-09-07T13:35:02-07:00</t>
  </si>
  <si>
    <t>2026-09-07T14:19:35-07:00</t>
  </si>
  <si>
    <t>Three verified outbound emails across two connected Gmail accounts; no inbound reply found through 2026-09-12. Stop cold follow-up unless they reply.</t>
  </si>
  <si>
    <t>Dansel Restoration</t>
  </si>
  <si>
    <t>2026-09-05T22:49:58-07:00</t>
  </si>
  <si>
    <t>2026-09-09</t>
  </si>
  <si>
    <t>One verified outbound email; no inbound reply found through 2026-09-12. One final respectful follow-up is permissible, then stop unless they reply.</t>
  </si>
  <si>
    <t>California First Roofing</t>
  </si>
  <si>
    <t>2026-09-05T22:39:21-07:00</t>
  </si>
  <si>
    <t>US Creative Restoration</t>
  </si>
  <si>
    <t>2026-09-05T22:53:01-07:00</t>
  </si>
  <si>
    <t>One verified outbound email; no reply found through 2026-09-12. Eligible for at most one respectful follow-up.</t>
  </si>
  <si>
    <t>WJM Builders</t>
  </si>
  <si>
    <t>2026-09-06T03:30:53-07:00</t>
  </si>
  <si>
    <t>2026-09-10</t>
  </si>
  <si>
    <t>Clean Roofing</t>
  </si>
  <si>
    <t>2026-09-06T03:42:04-07:00</t>
  </si>
  <si>
    <t>Solar Energy Consultants</t>
  </si>
  <si>
    <t>2026-09-06T03:25:44-07:00</t>
  </si>
  <si>
    <t>Mayer's Construction</t>
  </si>
  <si>
    <t>2026-09-06T03:31:58-07:00</t>
  </si>
  <si>
    <t>EVS Mechanical</t>
  </si>
  <si>
    <t>2026-09-06T03:32:27-07:00</t>
  </si>
  <si>
    <t>Dueling Trowels Concrete Solutions</t>
  </si>
  <si>
    <t>2026-09-05T22:39:44-07:00</t>
  </si>
  <si>
    <t>2026-09-06T03:20:39-07:00</t>
  </si>
  <si>
    <t>Two verified outbound emails; no reply found through 2026-09-12. Do not send another cold touch now.</t>
  </si>
  <si>
    <t>GBD Concrete</t>
  </si>
  <si>
    <t>2026-09-05T22:54:30-07:00</t>
  </si>
  <si>
    <t>John Molina Concrete</t>
  </si>
  <si>
    <t>2026-09-05T22:46:13-07:00</t>
  </si>
  <si>
    <t>Precision Concrete Inc</t>
  </si>
  <si>
    <t>2026-09-05T22:40:53-07:00</t>
  </si>
  <si>
    <t>One Day Complete Repipe</t>
  </si>
  <si>
    <t>2026-09-05T22:35:59-07:00</t>
  </si>
  <si>
    <t>HB Design &amp; Construction</t>
  </si>
  <si>
    <t>2026-09-18T16:24:00-07:00</t>
  </si>
  <si>
    <t>2026-09-21</t>
  </si>
  <si>
    <t>Wait for reply. If no reply, eligible for respectful S02 follow-up on/after 2026-09-21; stop sooner on decline or opt-out.</t>
  </si>
  <si>
    <t>QualiBuild LLC</t>
  </si>
  <si>
    <t>Redwood Roofing</t>
  </si>
  <si>
    <t>Premier Roofing &amp; Retro-Fit</t>
  </si>
  <si>
    <t>Make It Simple Construction, Inc.</t>
  </si>
  <si>
    <t>BLUECON</t>
  </si>
  <si>
    <t>Blues Bros</t>
  </si>
  <si>
    <t>Home Quality Remodeling</t>
  </si>
  <si>
    <t>Imperia Roofing &amp; Exteriors</t>
  </si>
  <si>
    <t>JH Construction</t>
  </si>
  <si>
    <t>2026-09-25T05:28:57-07:00</t>
  </si>
  <si>
    <t>Wait for an actual reply. Check delivery failures and opt-outs before a single respectful follow-up on or after 2026-09-29.</t>
  </si>
  <si>
    <t>Valdivia Roofing</t>
  </si>
  <si>
    <t>2026-09-25T05:28:58-07:00</t>
  </si>
  <si>
    <t>Visionable Landscaping</t>
  </si>
  <si>
    <t>2026-09-25T05:28:59-07:00</t>
  </si>
  <si>
    <t>Seal Home Remodeling</t>
  </si>
  <si>
    <t>ProMan California</t>
  </si>
  <si>
    <t>2026-09-25T05:29:00-07:00</t>
  </si>
  <si>
    <t>Green Hard Landscape Construction</t>
  </si>
  <si>
    <t>2026-09-25T05:29:01-07:00</t>
  </si>
  <si>
    <t>Bay Stone Depot</t>
  </si>
  <si>
    <t>2026-09-25T05:29:02-07:00</t>
  </si>
  <si>
    <t>Home Pro NW</t>
  </si>
  <si>
    <t>Silicon Prime Painting Inc</t>
  </si>
  <si>
    <t>2026-09-25T05:29:03-07:00</t>
  </si>
  <si>
    <t>First Touch Evidence</t>
  </si>
  <si>
    <t>FU1 Evidence</t>
  </si>
  <si>
    <t>FU2 Evidence</t>
  </si>
  <si>
    <t>Gmail sent message 1a074aa18c4a15e5</t>
  </si>
  <si>
    <t>Gmail sent message 1a07d94dc355abc7</t>
  </si>
  <si>
    <t>Gmail sent message 1a07dbda8027b039</t>
  </si>
  <si>
    <t>Gmail sent message 1a07537695be159d</t>
  </si>
  <si>
    <t>Gmail sent message 1a0753a7d53e5a5c</t>
  </si>
  <si>
    <t>Gmail sent message 1a0753ad793984cf</t>
  </si>
  <si>
    <t>Gmail sent message 1a0763c06f9e9dc5</t>
  </si>
  <si>
    <t>Gmail sent message 1a0753be59b49989</t>
  </si>
  <si>
    <t>Gmail sent message 1a07540c8b9fd4bc</t>
  </si>
  <si>
    <t>Gmail sent message 1a075443349aa830</t>
  </si>
  <si>
    <t>Gmail sent message 1a075449a2403271</t>
  </si>
  <si>
    <t>Gmail sent message 1a08369d9f6b09c0</t>
  </si>
  <si>
    <t>Gmail sent message 1a0754701539a56d</t>
  </si>
  <si>
    <t>Gmail sent message 1a075485ca2a3fef</t>
  </si>
  <si>
    <t>Precision Heating &amp; Cooling</t>
  </si>
  <si>
    <t>2026-09-06T01:37:52-07:00</t>
  </si>
  <si>
    <t>Gmail sent message 1a075ddee6716e8a</t>
  </si>
  <si>
    <t>Historical send discovered during Sep 12 audit; no reply found in connected Gmail search.</t>
  </si>
  <si>
    <t>Gmail sent message 1a07640ae5a69379</t>
  </si>
  <si>
    <t>Gmail sent message 1a076456505c6304</t>
  </si>
  <si>
    <t>Gmail sent message 1a0764664a2b1202</t>
  </si>
  <si>
    <t>Gmail sent message 1a07646d6dbd3474</t>
  </si>
  <si>
    <t>Gmail sent message 1a0764fa024df1f4</t>
  </si>
  <si>
    <t>Gmail sent message 1a0b6d78c843ca6b</t>
  </si>
  <si>
    <t>Gmail sent message 1a0b6d7943740cae</t>
  </si>
  <si>
    <t>Gmail sent message 1a0b6d79a6cdefdb</t>
  </si>
  <si>
    <t>Gmail sent message 1a0b6d7a193869fd</t>
  </si>
  <si>
    <t>Gmail sent message 1a0b6d7a978557f8</t>
  </si>
  <si>
    <t>Gmail sent message 1a0b6d7afc5b1de0</t>
  </si>
  <si>
    <t>Gmail sent message 1a0b6d7b4e0a0a3f</t>
  </si>
  <si>
    <t>Gmail sent message 1a0b6d7bd8a5e4c7</t>
  </si>
  <si>
    <t>Gmail sent message 1a0b6d7c520f4297</t>
  </si>
  <si>
    <t>Silicon Valley Chimney Sweep</t>
  </si>
  <si>
    <t>Gmail sent message 1a0b6d7d1bb96f3a</t>
  </si>
  <si>
    <t>Delivery Failed</t>
  </si>
  <si>
    <t>Do not count as successfully contacted. Official site still publishes info@svchimneysweep.com, but Gmail returned a hard bounce. Reverify or use the official website inquiry route; do not resend to the bounced address.</t>
  </si>
  <si>
    <t>Gmail sent message 1a0d88a4fad08ed7</t>
  </si>
  <si>
    <t>Gmail sent message 1a0d88a4f2e3d368</t>
  </si>
  <si>
    <t>Alderstone Remodeling &amp; Exteriors</t>
  </si>
  <si>
    <t>Gmail sent message 1a0d88a53a1c7431</t>
  </si>
  <si>
    <t>Do not resend to the bounced address. Find a verified alternative contact route; initial email did not deliver.</t>
  </si>
  <si>
    <t>Gmail sent message 1a0d88a55fbcdab6</t>
  </si>
  <si>
    <t>Gmail sent message 1a0d88a575f61927</t>
  </si>
  <si>
    <t>Gmail sent message 1a0d88a58e14836f</t>
  </si>
  <si>
    <t>Gmail sent message 1a0d88a5c75c4bb9</t>
  </si>
  <si>
    <t>Gmail sent message 1a0d88a5f653c17b</t>
  </si>
  <si>
    <t>Gmail sent message 1a0d88a617a05989</t>
  </si>
  <si>
    <t>Gmail sent message 1a0d88a63f26b6c8</t>
  </si>
  <si>
    <t>Archived</t>
  </si>
  <si>
    <t>Leader Restoration</t>
  </si>
  <si>
    <t>2026-09-12</t>
  </si>
  <si>
    <t>Rotated out of fresh queue 2026-09-12; no outreach found in connected Gmail checks.</t>
  </si>
  <si>
    <t>CostLess Heating &amp; Cooling</t>
  </si>
  <si>
    <t>2026-09-06</t>
  </si>
  <si>
    <t>Los Gatos Roofing</t>
  </si>
  <si>
    <t>Roofs By Reveille, Inc</t>
  </si>
  <si>
    <t>A1 Restoration</t>
  </si>
  <si>
    <t>911 Restoration of San Jose</t>
  </si>
  <si>
    <t>Any Hour Water and Fire</t>
  </si>
  <si>
    <t>IRBIS Air Plumbing Electrical</t>
  </si>
  <si>
    <t>Use official web/phone route; no direct email re-verified 2026-09-09.</t>
  </si>
  <si>
    <t>California Water and Fire</t>
  </si>
  <si>
    <t>Infinium Solar, Roofing and Electric</t>
  </si>
  <si>
    <t>Lifetime Roofing &amp; Renovation, Inc.</t>
  </si>
  <si>
    <t>ROOF EXPRESS</t>
  </si>
  <si>
    <t>South Bay Roofing CO</t>
  </si>
  <si>
    <t>Eastman Roofing &amp; Waterproofing, Inc.</t>
  </si>
  <si>
    <t>The Roofer Bros</t>
  </si>
  <si>
    <t>Roof By Tom</t>
  </si>
  <si>
    <t>FairPrice Heating &amp; Cooling</t>
  </si>
  <si>
    <t>Galaxy Heating &amp; Air Conditioning</t>
  </si>
  <si>
    <t>Air &amp; Plumbing Systems</t>
  </si>
  <si>
    <t>2026-09-11</t>
  </si>
  <si>
    <t>Archived from active Top 10 on 2026-09-11; no outreach recorded.</t>
  </si>
  <si>
    <t>Top Tier Roofing</t>
  </si>
  <si>
    <t>Verified Date</t>
  </si>
  <si>
    <t>Direct Contact</t>
  </si>
  <si>
    <t>Reverify Rule</t>
  </si>
  <si>
    <t>Reverify time-sensitive offers, hours, financing, ETA, response-time claims, and contact details before outreach.</t>
  </si>
  <si>
    <t>SAME-DAY CUSTOMER GROWTH PACK — LIVE PIPELINE</t>
  </si>
  <si>
    <t>Metric</t>
  </si>
  <si>
    <t>Value</t>
  </si>
  <si>
    <t>Commercial Metric</t>
  </si>
  <si>
    <t>Meaning</t>
  </si>
  <si>
    <t>Replied</t>
  </si>
  <si>
    <t>Negotiating</t>
  </si>
  <si>
    <t>Won/Paid</t>
  </si>
  <si>
    <t>Nominal Offer Value</t>
  </si>
  <si>
    <t>Potential at the standard package price; not booked revenue.</t>
  </si>
  <si>
    <t>Actual Quoted $</t>
  </si>
  <si>
    <t>Only real negotiated/quoted dollars.</t>
  </si>
  <si>
    <t>Paid Revenue</t>
  </si>
  <si>
    <t>Only actual payments.</t>
  </si>
  <si>
    <t>Response Rate</t>
  </si>
  <si>
    <t>Replies divided by records with a real first touch.</t>
  </si>
  <si>
    <t>Close Rate</t>
  </si>
  <si>
    <t>Wins divided by records with a real first touch.</t>
  </si>
  <si>
    <t>Rule</t>
  </si>
  <si>
    <t>Requirement</t>
  </si>
  <si>
    <t>Canonical lead feed</t>
  </si>
  <si>
    <t>sales-engine-app/data/leads.json</t>
  </si>
  <si>
    <t>Canonical pipeline history</t>
  </si>
  <si>
    <t>sales-engine/pipeline-history.json</t>
  </si>
  <si>
    <t>Canonical workbook</t>
  </si>
  <si>
    <t>sales-engine/Same-Day-Customer-Growth-Pack-Live-CRM.xlsx</t>
  </si>
  <si>
    <t>Fresh means fresh</t>
  </si>
  <si>
    <t>Before a prospect enters New Lead Queue, verify it and check connected Gmail history for prior contact.</t>
  </si>
  <si>
    <t>Evidence</t>
  </si>
  <si>
    <t>Every current lead requires a current source URL and dated evidence-based opportunity.</t>
  </si>
  <si>
    <t>Contacts</t>
  </si>
  <si>
    <t>Never invent email, phone, person, role, offer, or contact detail.</t>
  </si>
  <si>
    <t>Pipeline truth</t>
  </si>
  <si>
    <t>Never mark contact, reply, quote, payment, customer, revenue, or fulfillment unless it actually occurred.</t>
  </si>
  <si>
    <t>Offer value</t>
  </si>
  <si>
    <t>The standard package price is potential value, not quoted pipeline or revenue.</t>
  </si>
  <si>
    <t>Initial cold contact + max two respectful cold follow-ups; stop sooner on decline/opt-out and avoid duplicate account touches.</t>
  </si>
  <si>
    <t>Claims</t>
  </si>
  <si>
    <t>No guaranteed leads, ROI, rankings, bookings, response rates, or revenue.</t>
  </si>
  <si>
    <t>Workbook generation</t>
  </si>
  <si>
    <t>GitHub Actions regenerates this XLSX from the live feed + truth-preserving pipeline history.</t>
  </si>
  <si>
    <t>Refresh Date</t>
  </si>
  <si>
    <t>Fresh Leads</t>
  </si>
  <si>
    <t>Observed Contact Records</t>
  </si>
  <si>
    <t>Archived Records</t>
  </si>
  <si>
    <t>Notes</t>
  </si>
  <si>
    <t>Generated from the verified lead feed and preserved pipeline history. Unobserved outcomes remain zero/blank.</t>
  </si>
</sst>
</file>

<file path=xl/styles.xml><?xml version="1.0" encoding="utf-8"?>
<styleSheet xmlns="http://schemas.openxmlformats.org/spreadsheetml/2006/main">
  <numFmts count="2">
    <numFmt numFmtId="164" formatCode="$#,##0"/>
    <numFmt numFmtId="165" formatCode="0.0%"/>
  </numFmts>
  <fonts count="3">
    <font>
      <sz val="11"/>
      <color theme="1"/>
      <name val="Calibri"/>
      <family val="2"/>
      <scheme val="minor"/>
    </font>
    <font>
      <b/>
      <sz val="11"/>
      <color rgb="FFFFFFFF"/>
      <name val="Calibri"/>
      <family val="2"/>
      <scheme val="minor"/>
    </font>
    <font>
      <b/>
      <sz val="16"/>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475569"/>
        <bgColor indexed="64"/>
      </patternFill>
    </fill>
    <fill>
      <patternFill patternType="solid">
        <fgColor rgb="FF11182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0" fillId="0" borderId="2" xfId="0" applyBorder="1" applyAlignment="1">
      <alignment vertical="top" wrapText="1"/>
    </xf>
    <xf numFmtId="164" fontId="0" fillId="0" borderId="2" xfId="0" applyNumberFormat="1" applyBorder="1" applyAlignment="1">
      <alignment vertical="top"/>
    </xf>
    <xf numFmtId="0" fontId="1" fillId="3" borderId="1" xfId="0" applyFont="1" applyFill="1" applyBorder="1" applyAlignment="1">
      <alignment wrapText="1"/>
    </xf>
    <xf numFmtId="0" fontId="2" fillId="4" borderId="0" xfId="0" applyFont="1" applyFill="1" applyAlignment="1">
      <alignment horizontal="center" vertical="center"/>
    </xf>
    <xf numFmtId="165" fontId="0" fillId="0" borderId="2" xfId="0" applyNumberFormat="1" applyBorder="1"/>
  </cellXfs>
  <cellStyles count="1">
    <cellStyle name="Normal" xfId="0" builtinId="0"/>
  </cellStyles>
  <dxfs count="2">
    <dxf>
      <font>
        <b/>
        <color rgb="FF166534"/>
      </font>
      <fill>
        <patternFill>
          <bgColor rgb="FFDCFCE7"/>
        </patternFill>
      </fill>
      <border>
        <left style="thin">
          <color auto="1"/>
        </left>
        <right style="thin">
          <color auto="1"/>
        </right>
        <top style="thin">
          <color auto="1"/>
        </top>
        <bottom style="thin">
          <color auto="1"/>
        </bottom>
        <vertical/>
        <horizontal/>
      </border>
    </dxf>
    <dxf>
      <font>
        <color rgb="FF991B1B"/>
      </font>
      <fill>
        <patternFill>
          <bgColor rgb="FFFEE2E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ofgeeksca.com/contact" TargetMode="External"/><Relationship Id="rId2" Type="http://schemas.openxmlformats.org/officeDocument/2006/relationships/hyperlink" Target="https://www.elitehvac.us/contact" TargetMode="External"/><Relationship Id="rId3" Type="http://schemas.openxmlformats.org/officeDocument/2006/relationships/hyperlink" Target="https://smartchoicegeneral.com/contact" TargetMode="External"/><Relationship Id="rId4" Type="http://schemas.openxmlformats.org/officeDocument/2006/relationships/hyperlink" Target="https://sacramento-roofing.com/contact" TargetMode="External"/><Relationship Id="rId5" Type="http://schemas.openxmlformats.org/officeDocument/2006/relationships/hyperlink" Target="https://hernandezqualitypaintingsb.com/contact/" TargetMode="External"/><Relationship Id="rId6" Type="http://schemas.openxmlformats.org/officeDocument/2006/relationships/hyperlink" Target="https://www.vmk-construction.com/contact" TargetMode="External"/><Relationship Id="rId7" Type="http://schemas.openxmlformats.org/officeDocument/2006/relationships/hyperlink" Target="https://www.socaladupro.com/" TargetMode="External"/><Relationship Id="rId8" Type="http://schemas.openxmlformats.org/officeDocument/2006/relationships/hyperlink" Target="https://www.yealpha.com/" TargetMode="External"/><Relationship Id="rId9" Type="http://schemas.openxmlformats.org/officeDocument/2006/relationships/hyperlink" Target="https://p1build.com/" TargetMode="External"/><Relationship Id="rId10" Type="http://schemas.openxmlformats.org/officeDocument/2006/relationships/hyperlink" Target="https://www.hammertime247inc.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oofgeeksca.com/contact" TargetMode="External"/><Relationship Id="rId2" Type="http://schemas.openxmlformats.org/officeDocument/2006/relationships/hyperlink" Target="https://www.elitehvac.us/contact" TargetMode="External"/><Relationship Id="rId3" Type="http://schemas.openxmlformats.org/officeDocument/2006/relationships/hyperlink" Target="https://smartchoicegeneral.com/contact" TargetMode="External"/><Relationship Id="rId4" Type="http://schemas.openxmlformats.org/officeDocument/2006/relationships/hyperlink" Target="https://sacramento-roofing.com/contact" TargetMode="External"/><Relationship Id="rId5" Type="http://schemas.openxmlformats.org/officeDocument/2006/relationships/hyperlink" Target="https://hernandezqualitypaintingsb.com/contact/" TargetMode="External"/><Relationship Id="rId6" Type="http://schemas.openxmlformats.org/officeDocument/2006/relationships/hyperlink" Target="https://www.vmk-construction.com/contact" TargetMode="External"/><Relationship Id="rId7" Type="http://schemas.openxmlformats.org/officeDocument/2006/relationships/hyperlink" Target="https://www.socaladupro.com/" TargetMode="External"/><Relationship Id="rId8" Type="http://schemas.openxmlformats.org/officeDocument/2006/relationships/hyperlink" Target="https://www.yealpha.com/" TargetMode="External"/><Relationship Id="rId9" Type="http://schemas.openxmlformats.org/officeDocument/2006/relationships/hyperlink" Target="https://p1build.com/" TargetMode="External"/><Relationship Id="rId10" Type="http://schemas.openxmlformats.org/officeDocument/2006/relationships/hyperlink" Target="https://www.hammertime247inc.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roofgeeksca.com/contact" TargetMode="External"/><Relationship Id="rId2" Type="http://schemas.openxmlformats.org/officeDocument/2006/relationships/hyperlink" Target="https://www.elitehvac.us/contact" TargetMode="External"/><Relationship Id="rId3" Type="http://schemas.openxmlformats.org/officeDocument/2006/relationships/hyperlink" Target="https://smartchoicegeneral.com/contact" TargetMode="External"/><Relationship Id="rId4" Type="http://schemas.openxmlformats.org/officeDocument/2006/relationships/hyperlink" Target="https://sacramento-roofing.com/contact" TargetMode="External"/><Relationship Id="rId5" Type="http://schemas.openxmlformats.org/officeDocument/2006/relationships/hyperlink" Target="https://hernandezqualitypaintingsb.com/contact/" TargetMode="External"/><Relationship Id="rId6" Type="http://schemas.openxmlformats.org/officeDocument/2006/relationships/hyperlink" Target="https://www.vmk-construction.com/contact" TargetMode="External"/><Relationship Id="rId7" Type="http://schemas.openxmlformats.org/officeDocument/2006/relationships/hyperlink" Target="https://www.socaladupro.com/" TargetMode="External"/><Relationship Id="rId8" Type="http://schemas.openxmlformats.org/officeDocument/2006/relationships/hyperlink" Target="https://www.yealpha.com/" TargetMode="External"/><Relationship Id="rId9" Type="http://schemas.openxmlformats.org/officeDocument/2006/relationships/hyperlink" Target="https://p1build.com/" TargetMode="External"/><Relationship Id="rId10" Type="http://schemas.openxmlformats.org/officeDocument/2006/relationships/hyperlink" Target="https://www.hammertime247inc.com/" TargetMode="External"/></Relationships>
</file>

<file path=xl/worksheets/sheet1.xml><?xml version="1.0" encoding="utf-8"?>
<worksheet xmlns="http://schemas.openxmlformats.org/spreadsheetml/2006/main" xmlns:r="http://schemas.openxmlformats.org/officeDocument/2006/relationships">
  <dimension ref="A1:O11"/>
  <sheetViews>
    <sheetView tabSelected="1" workbookViewId="0">
      <pane ySplit="1" topLeftCell="A2" activePane="bottomLeft" state="frozen"/>
      <selection pane="bottomLeft"/>
    </sheetView>
  </sheetViews>
  <sheetFormatPr defaultRowHeight="15"/>
  <cols>
    <col min="1" max="1" width="7.7109375" customWidth="1"/>
    <col min="2" max="2" width="32.7109375" customWidth="1"/>
    <col min="3" max="3" width="26.7109375" customWidth="1"/>
    <col min="4" max="4" width="22.7109375" customWidth="1"/>
    <col min="5" max="5" width="8.7109375" customWidth="1"/>
    <col min="6" max="6" width="54.7109375" customWidth="1"/>
    <col min="7" max="7" width="18.7109375" customWidth="1"/>
    <col min="8" max="8" width="34.7109375" customWidth="1"/>
    <col min="9" max="9" width="30.7109375" customWidth="1"/>
    <col min="10" max="10" width="48.7109375" customWidth="1"/>
    <col min="11" max="11" width="38.7109375" customWidth="1"/>
    <col min="12" max="12" width="72.7109375" customWidth="1"/>
    <col min="13" max="13" width="50.7109375" customWidth="1"/>
    <col min="14" max="14" width="14.7109375" customWidth="1"/>
    <col min="15" max="15" width="18.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2" t="s">
        <v>15</v>
      </c>
      <c r="C2" s="2" t="s">
        <v>16</v>
      </c>
      <c r="D2" s="2" t="s">
        <v>17</v>
      </c>
      <c r="E2" s="2" t="s">
        <v>18</v>
      </c>
      <c r="F2" s="2" t="s">
        <v>19</v>
      </c>
      <c r="G2" s="2"/>
      <c r="H2" s="2" t="s">
        <v>20</v>
      </c>
      <c r="I2" s="2" t="s">
        <v>21</v>
      </c>
      <c r="J2" s="2" t="s">
        <v>22</v>
      </c>
      <c r="K2" s="2" t="s">
        <v>23</v>
      </c>
      <c r="L2" s="2" t="s">
        <v>24</v>
      </c>
      <c r="M2" s="2" t="s">
        <v>25</v>
      </c>
      <c r="N2" s="2" t="s">
        <v>26</v>
      </c>
      <c r="O2" s="2" t="s">
        <v>27</v>
      </c>
    </row>
    <row r="3" spans="1:15">
      <c r="A3" s="2">
        <v>2</v>
      </c>
      <c r="B3" s="2" t="s">
        <v>28</v>
      </c>
      <c r="C3" s="2" t="s">
        <v>29</v>
      </c>
      <c r="D3" s="2" t="s">
        <v>30</v>
      </c>
      <c r="E3" s="2" t="s">
        <v>18</v>
      </c>
      <c r="F3" s="2" t="s">
        <v>31</v>
      </c>
      <c r="G3" s="2"/>
      <c r="H3" s="2" t="s">
        <v>32</v>
      </c>
      <c r="I3" s="2" t="s">
        <v>33</v>
      </c>
      <c r="J3" s="2" t="s">
        <v>34</v>
      </c>
      <c r="K3" s="2" t="s">
        <v>35</v>
      </c>
      <c r="L3" s="2" t="s">
        <v>36</v>
      </c>
      <c r="M3" s="2" t="s">
        <v>37</v>
      </c>
      <c r="N3" s="2" t="s">
        <v>26</v>
      </c>
      <c r="O3" s="2" t="s">
        <v>27</v>
      </c>
    </row>
    <row r="4" spans="1:15">
      <c r="A4" s="2">
        <v>3</v>
      </c>
      <c r="B4" s="2" t="s">
        <v>38</v>
      </c>
      <c r="C4" s="2" t="s">
        <v>39</v>
      </c>
      <c r="D4" s="2" t="s">
        <v>40</v>
      </c>
      <c r="E4" s="2" t="s">
        <v>18</v>
      </c>
      <c r="F4" s="2" t="s">
        <v>41</v>
      </c>
      <c r="G4" s="2"/>
      <c r="H4" s="2" t="s">
        <v>42</v>
      </c>
      <c r="I4" s="2" t="s">
        <v>43</v>
      </c>
      <c r="J4" s="2" t="s">
        <v>44</v>
      </c>
      <c r="K4" s="2" t="s">
        <v>45</v>
      </c>
      <c r="L4" s="2" t="s">
        <v>46</v>
      </c>
      <c r="M4" s="2" t="s">
        <v>47</v>
      </c>
      <c r="N4" s="2" t="s">
        <v>26</v>
      </c>
      <c r="O4" s="2" t="s">
        <v>27</v>
      </c>
    </row>
    <row r="5" spans="1:15">
      <c r="A5" s="2">
        <v>4</v>
      </c>
      <c r="B5" s="2" t="s">
        <v>48</v>
      </c>
      <c r="C5" s="2" t="s">
        <v>49</v>
      </c>
      <c r="D5" s="2" t="s">
        <v>50</v>
      </c>
      <c r="E5" s="2" t="s">
        <v>18</v>
      </c>
      <c r="F5" s="2" t="s">
        <v>51</v>
      </c>
      <c r="G5" s="2"/>
      <c r="H5" s="2" t="s">
        <v>52</v>
      </c>
      <c r="I5" s="2" t="s">
        <v>53</v>
      </c>
      <c r="J5" s="2" t="s">
        <v>54</v>
      </c>
      <c r="K5" s="2" t="s">
        <v>55</v>
      </c>
      <c r="L5" s="2" t="s">
        <v>56</v>
      </c>
      <c r="M5" s="2" t="s">
        <v>57</v>
      </c>
      <c r="N5" s="2" t="s">
        <v>26</v>
      </c>
      <c r="O5" s="2" t="s">
        <v>27</v>
      </c>
    </row>
    <row r="6" spans="1:15">
      <c r="A6" s="2">
        <v>5</v>
      </c>
      <c r="B6" s="2" t="s">
        <v>58</v>
      </c>
      <c r="C6" s="2" t="s">
        <v>59</v>
      </c>
      <c r="D6" s="2" t="s">
        <v>60</v>
      </c>
      <c r="E6" s="2" t="s">
        <v>18</v>
      </c>
      <c r="F6" s="2" t="s">
        <v>61</v>
      </c>
      <c r="G6" s="2"/>
      <c r="H6" s="2" t="s">
        <v>62</v>
      </c>
      <c r="I6" s="2" t="s">
        <v>63</v>
      </c>
      <c r="J6" s="2" t="s">
        <v>64</v>
      </c>
      <c r="K6" s="2" t="s">
        <v>65</v>
      </c>
      <c r="L6" s="2" t="s">
        <v>66</v>
      </c>
      <c r="M6" s="2" t="s">
        <v>67</v>
      </c>
      <c r="N6" s="2" t="s">
        <v>26</v>
      </c>
      <c r="O6" s="2" t="s">
        <v>27</v>
      </c>
    </row>
    <row r="7" spans="1:15">
      <c r="A7" s="2">
        <v>6</v>
      </c>
      <c r="B7" s="2" t="s">
        <v>68</v>
      </c>
      <c r="C7" s="2" t="s">
        <v>69</v>
      </c>
      <c r="D7" s="2" t="s">
        <v>70</v>
      </c>
      <c r="E7" s="2" t="s">
        <v>18</v>
      </c>
      <c r="F7" s="2" t="s">
        <v>71</v>
      </c>
      <c r="G7" s="2"/>
      <c r="H7" s="2" t="s">
        <v>72</v>
      </c>
      <c r="I7" s="2" t="s">
        <v>73</v>
      </c>
      <c r="J7" s="2" t="s">
        <v>74</v>
      </c>
      <c r="K7" s="2" t="s">
        <v>75</v>
      </c>
      <c r="L7" s="2" t="s">
        <v>76</v>
      </c>
      <c r="M7" s="2" t="s">
        <v>77</v>
      </c>
      <c r="N7" s="2" t="s">
        <v>26</v>
      </c>
      <c r="O7" s="2" t="s">
        <v>27</v>
      </c>
    </row>
    <row r="8" spans="1:15">
      <c r="A8" s="2">
        <v>7</v>
      </c>
      <c r="B8" s="2" t="s">
        <v>78</v>
      </c>
      <c r="C8" s="2" t="s">
        <v>79</v>
      </c>
      <c r="D8" s="2" t="s">
        <v>80</v>
      </c>
      <c r="E8" s="2" t="s">
        <v>18</v>
      </c>
      <c r="F8" s="2" t="s">
        <v>81</v>
      </c>
      <c r="G8" s="2"/>
      <c r="H8" s="2" t="s">
        <v>82</v>
      </c>
      <c r="I8" s="2" t="s">
        <v>83</v>
      </c>
      <c r="J8" s="2" t="s">
        <v>84</v>
      </c>
      <c r="K8" s="2" t="s">
        <v>85</v>
      </c>
      <c r="L8" s="2" t="s">
        <v>86</v>
      </c>
      <c r="M8" s="2" t="s">
        <v>87</v>
      </c>
      <c r="N8" s="2" t="s">
        <v>26</v>
      </c>
      <c r="O8" s="2" t="s">
        <v>27</v>
      </c>
    </row>
    <row r="9" spans="1:15">
      <c r="A9" s="2">
        <v>8</v>
      </c>
      <c r="B9" s="2" t="s">
        <v>88</v>
      </c>
      <c r="C9" s="2" t="s">
        <v>89</v>
      </c>
      <c r="D9" s="2" t="s">
        <v>80</v>
      </c>
      <c r="E9" s="2" t="s">
        <v>18</v>
      </c>
      <c r="F9" s="2" t="s">
        <v>90</v>
      </c>
      <c r="G9" s="2"/>
      <c r="H9" s="2" t="s">
        <v>91</v>
      </c>
      <c r="I9" s="2" t="s">
        <v>92</v>
      </c>
      <c r="J9" s="2" t="s">
        <v>93</v>
      </c>
      <c r="K9" s="2" t="s">
        <v>94</v>
      </c>
      <c r="L9" s="2" t="s">
        <v>95</v>
      </c>
      <c r="M9" s="2" t="s">
        <v>96</v>
      </c>
      <c r="N9" s="2" t="s">
        <v>26</v>
      </c>
      <c r="O9" s="2" t="s">
        <v>27</v>
      </c>
    </row>
    <row r="10" spans="1:15">
      <c r="A10" s="2">
        <v>9</v>
      </c>
      <c r="B10" s="2" t="s">
        <v>97</v>
      </c>
      <c r="C10" s="2" t="s">
        <v>98</v>
      </c>
      <c r="D10" s="2" t="s">
        <v>99</v>
      </c>
      <c r="E10" s="2" t="s">
        <v>18</v>
      </c>
      <c r="F10" s="2" t="s">
        <v>100</v>
      </c>
      <c r="G10" s="2"/>
      <c r="H10" s="2" t="s">
        <v>101</v>
      </c>
      <c r="I10" s="2" t="s">
        <v>102</v>
      </c>
      <c r="J10" s="2" t="s">
        <v>103</v>
      </c>
      <c r="K10" s="2" t="s">
        <v>104</v>
      </c>
      <c r="L10" s="2" t="s">
        <v>105</v>
      </c>
      <c r="M10" s="2" t="s">
        <v>106</v>
      </c>
      <c r="N10" s="2" t="s">
        <v>26</v>
      </c>
      <c r="O10" s="2" t="s">
        <v>27</v>
      </c>
    </row>
    <row r="11" spans="1:15">
      <c r="A11" s="2">
        <v>10</v>
      </c>
      <c r="B11" s="2" t="s">
        <v>107</v>
      </c>
      <c r="C11" s="2" t="s">
        <v>108</v>
      </c>
      <c r="D11" s="2" t="s">
        <v>109</v>
      </c>
      <c r="E11" s="2" t="s">
        <v>18</v>
      </c>
      <c r="F11" s="2" t="s">
        <v>110</v>
      </c>
      <c r="G11" s="2"/>
      <c r="H11" s="2" t="s">
        <v>111</v>
      </c>
      <c r="I11" s="2" t="s">
        <v>112</v>
      </c>
      <c r="J11" s="2" t="s">
        <v>113</v>
      </c>
      <c r="K11" s="2" t="s">
        <v>114</v>
      </c>
      <c r="L11" s="2" t="s">
        <v>115</v>
      </c>
      <c r="M11" s="2" t="s">
        <v>116</v>
      </c>
      <c r="N11" s="2" t="s">
        <v>26</v>
      </c>
      <c r="O11" s="2" t="s">
        <v>27</v>
      </c>
    </row>
  </sheetData>
  <autoFilter ref="A1:O11"/>
  <conditionalFormatting sqref="E2:E11">
    <cfRule type="containsText" dxfId="0" priority="1" operator="containsText" text="A">
      <formula>NOT(ISERROR(SEARCH("A",E2)))</formula>
    </cfRule>
  </conditionalFormatting>
  <hyperlinks>
    <hyperlink ref="M2" r:id="rId1"/>
    <hyperlink ref="M3" r:id="rId2"/>
    <hyperlink ref="M4" r:id="rId3"/>
    <hyperlink ref="M5" r:id="rId4"/>
    <hyperlink ref="M6" r:id="rId5"/>
    <hyperlink ref="M7" r:id="rId6"/>
    <hyperlink ref="M8" r:id="rId7"/>
    <hyperlink ref="M9" r:id="rId8"/>
    <hyperlink ref="M10" r:id="rId9"/>
    <hyperlink ref="M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sheetView>
  </sheetViews>
  <sheetFormatPr defaultRowHeight="15"/>
  <cols>
    <col min="1" max="1" width="12.7109375" customWidth="1"/>
    <col min="2" max="2" width="24.7109375" customWidth="1"/>
    <col min="3" max="3" width="34.7109375" customWidth="1"/>
    <col min="4" max="4" width="92.7109375" customWidth="1"/>
  </cols>
  <sheetData>
    <row r="1" spans="1:4">
      <c r="A1" s="1" t="s">
        <v>117</v>
      </c>
      <c r="B1" s="1" t="s">
        <v>118</v>
      </c>
      <c r="C1" s="1" t="s">
        <v>119</v>
      </c>
      <c r="D1" s="1" t="s">
        <v>120</v>
      </c>
    </row>
    <row r="2" spans="1:4">
      <c r="A2" s="2" t="s">
        <v>121</v>
      </c>
      <c r="B2" s="2" t="s">
        <v>122</v>
      </c>
      <c r="C2" s="2" t="s">
        <v>123</v>
      </c>
      <c r="D2" s="2" t="s">
        <v>124</v>
      </c>
    </row>
    <row r="3" spans="1:4">
      <c r="A3" s="2" t="s">
        <v>125</v>
      </c>
      <c r="B3" s="2" t="s">
        <v>126</v>
      </c>
      <c r="C3" s="2" t="s">
        <v>127</v>
      </c>
      <c r="D3" s="2" t="s">
        <v>128</v>
      </c>
    </row>
    <row r="4" spans="1:4">
      <c r="A4" s="2" t="s">
        <v>129</v>
      </c>
      <c r="B4" s="2" t="s">
        <v>130</v>
      </c>
      <c r="C4" s="2" t="s">
        <v>131</v>
      </c>
      <c r="D4" s="2" t="s">
        <v>132</v>
      </c>
    </row>
    <row r="5" spans="1:4">
      <c r="A5" s="2" t="s">
        <v>133</v>
      </c>
      <c r="B5" s="2" t="s">
        <v>134</v>
      </c>
      <c r="C5" s="2" t="s">
        <v>135</v>
      </c>
      <c r="D5" s="2" t="s">
        <v>136</v>
      </c>
    </row>
    <row r="6" spans="1:4">
      <c r="A6" s="2" t="s">
        <v>137</v>
      </c>
      <c r="B6" s="2" t="s">
        <v>138</v>
      </c>
      <c r="C6" s="2" t="s">
        <v>139</v>
      </c>
      <c r="D6" s="2" t="s">
        <v>140</v>
      </c>
    </row>
    <row r="7" spans="1:4">
      <c r="A7" s="2" t="s">
        <v>141</v>
      </c>
      <c r="B7" s="2" t="s">
        <v>142</v>
      </c>
      <c r="C7" s="2" t="s">
        <v>143</v>
      </c>
      <c r="D7" s="2" t="s">
        <v>144</v>
      </c>
    </row>
    <row r="8" spans="1:4">
      <c r="A8" s="2" t="s">
        <v>145</v>
      </c>
      <c r="B8" s="2" t="s">
        <v>146</v>
      </c>
      <c r="C8" s="2" t="s">
        <v>147</v>
      </c>
      <c r="D8" s="2" t="s">
        <v>148</v>
      </c>
    </row>
    <row r="9" spans="1:4">
      <c r="A9" s="2" t="s">
        <v>149</v>
      </c>
      <c r="B9" s="2" t="s">
        <v>150</v>
      </c>
      <c r="C9" s="2" t="s">
        <v>151</v>
      </c>
      <c r="D9" s="2" t="s">
        <v>152</v>
      </c>
    </row>
    <row r="10" spans="1:4">
      <c r="A10" s="2" t="s">
        <v>153</v>
      </c>
      <c r="B10" s="2" t="s">
        <v>154</v>
      </c>
      <c r="C10" s="2" t="s">
        <v>155</v>
      </c>
      <c r="D10" s="2"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44"/>
  <sheetViews>
    <sheetView workbookViewId="0">
      <pane ySplit="1" topLeftCell="A2" activePane="bottomLeft" state="frozen"/>
      <selection pane="bottomLeft"/>
    </sheetView>
  </sheetViews>
  <sheetFormatPr defaultRowHeight="15"/>
  <cols>
    <col min="1" max="1" width="32.7109375" customWidth="1"/>
    <col min="2" max="2" width="10.7109375" customWidth="1"/>
    <col min="3" max="3" width="34.7109375" customWidth="1"/>
    <col min="4" max="4" width="24.7109375" customWidth="1"/>
    <col min="5" max="5" width="14.7109375" customWidth="1"/>
    <col min="6" max="6" width="24.7109375" customWidth="1"/>
    <col min="7" max="7" width="14.7109375" customWidth="1"/>
    <col min="8" max="8" width="24.7109375" customWidth="1"/>
    <col min="9" max="9" width="38.7109375" customWidth="1"/>
    <col min="10" max="10" width="18.7109375" customWidth="1"/>
    <col min="11" max="12" width="12.7109375" customWidth="1"/>
    <col min="13" max="13" width="14.7109375" customWidth="1"/>
    <col min="14" max="14" width="58.7109375" customWidth="1"/>
    <col min="15" max="15" width="12.7109375" customWidth="1"/>
    <col min="16" max="16" width="14.7109375" customWidth="1"/>
    <col min="17" max="17" width="50.7109375" customWidth="1"/>
    <col min="18" max="18" width="14.7109375" customWidth="1"/>
  </cols>
  <sheetData>
    <row r="1" spans="1:18">
      <c r="A1" s="1" t="s">
        <v>157</v>
      </c>
      <c r="B1" s="1" t="s">
        <v>158</v>
      </c>
      <c r="C1" s="1" t="s">
        <v>159</v>
      </c>
      <c r="D1" s="1" t="s">
        <v>160</v>
      </c>
      <c r="E1" s="1" t="s">
        <v>161</v>
      </c>
      <c r="F1" s="1" t="s">
        <v>162</v>
      </c>
      <c r="G1" s="1" t="s">
        <v>163</v>
      </c>
      <c r="H1" s="1" t="s">
        <v>164</v>
      </c>
      <c r="I1" s="1" t="s">
        <v>165</v>
      </c>
      <c r="J1" s="1" t="s">
        <v>118</v>
      </c>
      <c r="K1" s="1" t="s">
        <v>166</v>
      </c>
      <c r="L1" s="1" t="s">
        <v>167</v>
      </c>
      <c r="M1" s="1" t="s">
        <v>168</v>
      </c>
      <c r="N1" s="1" t="s">
        <v>169</v>
      </c>
      <c r="O1" s="1" t="s">
        <v>170</v>
      </c>
      <c r="P1" s="1" t="s">
        <v>171</v>
      </c>
      <c r="Q1" s="1" t="s">
        <v>172</v>
      </c>
      <c r="R1" s="1" t="s">
        <v>173</v>
      </c>
    </row>
    <row r="2" spans="1:18">
      <c r="A2" s="2" t="s">
        <v>15</v>
      </c>
      <c r="B2" s="2">
        <v>1</v>
      </c>
      <c r="C2" s="2" t="s">
        <v>20</v>
      </c>
      <c r="D2" s="2"/>
      <c r="E2" s="2"/>
      <c r="F2" s="2"/>
      <c r="G2" s="2"/>
      <c r="H2" s="2"/>
      <c r="I2" s="2"/>
      <c r="J2" s="2" t="s">
        <v>27</v>
      </c>
      <c r="K2" s="3">
        <v>0</v>
      </c>
      <c r="L2" s="3">
        <v>0</v>
      </c>
      <c r="M2" s="2"/>
      <c r="N2" s="2"/>
      <c r="O2" s="2"/>
      <c r="P2" s="2" t="s">
        <v>26</v>
      </c>
      <c r="Q2" s="2" t="s">
        <v>25</v>
      </c>
      <c r="R2" s="3">
        <v>150</v>
      </c>
    </row>
    <row r="3" spans="1:18">
      <c r="A3" s="2" t="s">
        <v>28</v>
      </c>
      <c r="B3" s="2">
        <v>2</v>
      </c>
      <c r="C3" s="2" t="s">
        <v>32</v>
      </c>
      <c r="D3" s="2"/>
      <c r="E3" s="2"/>
      <c r="F3" s="2"/>
      <c r="G3" s="2"/>
      <c r="H3" s="2"/>
      <c r="I3" s="2"/>
      <c r="J3" s="2" t="s">
        <v>27</v>
      </c>
      <c r="K3" s="3">
        <v>0</v>
      </c>
      <c r="L3" s="3">
        <v>0</v>
      </c>
      <c r="M3" s="2"/>
      <c r="N3" s="2"/>
      <c r="O3" s="2"/>
      <c r="P3" s="2" t="s">
        <v>26</v>
      </c>
      <c r="Q3" s="2" t="s">
        <v>37</v>
      </c>
      <c r="R3" s="3">
        <v>150</v>
      </c>
    </row>
    <row r="4" spans="1:18">
      <c r="A4" s="2" t="s">
        <v>38</v>
      </c>
      <c r="B4" s="2">
        <v>3</v>
      </c>
      <c r="C4" s="2" t="s">
        <v>42</v>
      </c>
      <c r="D4" s="2"/>
      <c r="E4" s="2"/>
      <c r="F4" s="2"/>
      <c r="G4" s="2"/>
      <c r="H4" s="2"/>
      <c r="I4" s="2"/>
      <c r="J4" s="2" t="s">
        <v>27</v>
      </c>
      <c r="K4" s="3">
        <v>0</v>
      </c>
      <c r="L4" s="3">
        <v>0</v>
      </c>
      <c r="M4" s="2"/>
      <c r="N4" s="2"/>
      <c r="O4" s="2"/>
      <c r="P4" s="2" t="s">
        <v>26</v>
      </c>
      <c r="Q4" s="2" t="s">
        <v>47</v>
      </c>
      <c r="R4" s="3">
        <v>150</v>
      </c>
    </row>
    <row r="5" spans="1:18">
      <c r="A5" s="2" t="s">
        <v>48</v>
      </c>
      <c r="B5" s="2">
        <v>4</v>
      </c>
      <c r="C5" s="2" t="s">
        <v>52</v>
      </c>
      <c r="D5" s="2"/>
      <c r="E5" s="2"/>
      <c r="F5" s="2"/>
      <c r="G5" s="2"/>
      <c r="H5" s="2"/>
      <c r="I5" s="2"/>
      <c r="J5" s="2" t="s">
        <v>27</v>
      </c>
      <c r="K5" s="3">
        <v>0</v>
      </c>
      <c r="L5" s="3">
        <v>0</v>
      </c>
      <c r="M5" s="2"/>
      <c r="N5" s="2"/>
      <c r="O5" s="2"/>
      <c r="P5" s="2" t="s">
        <v>26</v>
      </c>
      <c r="Q5" s="2" t="s">
        <v>57</v>
      </c>
      <c r="R5" s="3">
        <v>150</v>
      </c>
    </row>
    <row r="6" spans="1:18">
      <c r="A6" s="2" t="s">
        <v>58</v>
      </c>
      <c r="B6" s="2">
        <v>5</v>
      </c>
      <c r="C6" s="2" t="s">
        <v>62</v>
      </c>
      <c r="D6" s="2"/>
      <c r="E6" s="2"/>
      <c r="F6" s="2"/>
      <c r="G6" s="2"/>
      <c r="H6" s="2"/>
      <c r="I6" s="2"/>
      <c r="J6" s="2" t="s">
        <v>27</v>
      </c>
      <c r="K6" s="3">
        <v>0</v>
      </c>
      <c r="L6" s="3">
        <v>0</v>
      </c>
      <c r="M6" s="2"/>
      <c r="N6" s="2"/>
      <c r="O6" s="2"/>
      <c r="P6" s="2" t="s">
        <v>26</v>
      </c>
      <c r="Q6" s="2" t="s">
        <v>67</v>
      </c>
      <c r="R6" s="3">
        <v>150</v>
      </c>
    </row>
    <row r="7" spans="1:18">
      <c r="A7" s="2" t="s">
        <v>68</v>
      </c>
      <c r="B7" s="2">
        <v>6</v>
      </c>
      <c r="C7" s="2" t="s">
        <v>72</v>
      </c>
      <c r="D7" s="2"/>
      <c r="E7" s="2"/>
      <c r="F7" s="2"/>
      <c r="G7" s="2"/>
      <c r="H7" s="2"/>
      <c r="I7" s="2"/>
      <c r="J7" s="2" t="s">
        <v>27</v>
      </c>
      <c r="K7" s="3">
        <v>0</v>
      </c>
      <c r="L7" s="3">
        <v>0</v>
      </c>
      <c r="M7" s="2"/>
      <c r="N7" s="2"/>
      <c r="O7" s="2"/>
      <c r="P7" s="2" t="s">
        <v>26</v>
      </c>
      <c r="Q7" s="2" t="s">
        <v>77</v>
      </c>
      <c r="R7" s="3">
        <v>150</v>
      </c>
    </row>
    <row r="8" spans="1:18">
      <c r="A8" s="2" t="s">
        <v>78</v>
      </c>
      <c r="B8" s="2">
        <v>7</v>
      </c>
      <c r="C8" s="2" t="s">
        <v>82</v>
      </c>
      <c r="D8" s="2"/>
      <c r="E8" s="2"/>
      <c r="F8" s="2"/>
      <c r="G8" s="2"/>
      <c r="H8" s="2"/>
      <c r="I8" s="2"/>
      <c r="J8" s="2" t="s">
        <v>27</v>
      </c>
      <c r="K8" s="3">
        <v>0</v>
      </c>
      <c r="L8" s="3">
        <v>0</v>
      </c>
      <c r="M8" s="2"/>
      <c r="N8" s="2"/>
      <c r="O8" s="2"/>
      <c r="P8" s="2" t="s">
        <v>26</v>
      </c>
      <c r="Q8" s="2" t="s">
        <v>87</v>
      </c>
      <c r="R8" s="3">
        <v>150</v>
      </c>
    </row>
    <row r="9" spans="1:18">
      <c r="A9" s="2" t="s">
        <v>88</v>
      </c>
      <c r="B9" s="2">
        <v>8</v>
      </c>
      <c r="C9" s="2" t="s">
        <v>91</v>
      </c>
      <c r="D9" s="2"/>
      <c r="E9" s="2"/>
      <c r="F9" s="2"/>
      <c r="G9" s="2"/>
      <c r="H9" s="2"/>
      <c r="I9" s="2"/>
      <c r="J9" s="2" t="s">
        <v>27</v>
      </c>
      <c r="K9" s="3">
        <v>0</v>
      </c>
      <c r="L9" s="3">
        <v>0</v>
      </c>
      <c r="M9" s="2"/>
      <c r="N9" s="2"/>
      <c r="O9" s="2"/>
      <c r="P9" s="2" t="s">
        <v>26</v>
      </c>
      <c r="Q9" s="2" t="s">
        <v>96</v>
      </c>
      <c r="R9" s="3">
        <v>150</v>
      </c>
    </row>
    <row r="10" spans="1:18">
      <c r="A10" s="2" t="s">
        <v>97</v>
      </c>
      <c r="B10" s="2">
        <v>9</v>
      </c>
      <c r="C10" s="2" t="s">
        <v>101</v>
      </c>
      <c r="D10" s="2"/>
      <c r="E10" s="2"/>
      <c r="F10" s="2"/>
      <c r="G10" s="2"/>
      <c r="H10" s="2"/>
      <c r="I10" s="2"/>
      <c r="J10" s="2" t="s">
        <v>27</v>
      </c>
      <c r="K10" s="3">
        <v>0</v>
      </c>
      <c r="L10" s="3">
        <v>0</v>
      </c>
      <c r="M10" s="2"/>
      <c r="N10" s="2"/>
      <c r="O10" s="2"/>
      <c r="P10" s="2" t="s">
        <v>26</v>
      </c>
      <c r="Q10" s="2" t="s">
        <v>106</v>
      </c>
      <c r="R10" s="3">
        <v>150</v>
      </c>
    </row>
    <row r="11" spans="1:18">
      <c r="A11" s="2" t="s">
        <v>107</v>
      </c>
      <c r="B11" s="2">
        <v>10</v>
      </c>
      <c r="C11" s="2" t="s">
        <v>111</v>
      </c>
      <c r="D11" s="2"/>
      <c r="E11" s="2"/>
      <c r="F11" s="2"/>
      <c r="G11" s="2"/>
      <c r="H11" s="2"/>
      <c r="I11" s="2"/>
      <c r="J11" s="2" t="s">
        <v>27</v>
      </c>
      <c r="K11" s="3">
        <v>0</v>
      </c>
      <c r="L11" s="3">
        <v>0</v>
      </c>
      <c r="M11" s="2"/>
      <c r="N11" s="2"/>
      <c r="O11" s="2"/>
      <c r="P11" s="2" t="s">
        <v>26</v>
      </c>
      <c r="Q11" s="2" t="s">
        <v>116</v>
      </c>
      <c r="R11" s="3">
        <v>150</v>
      </c>
    </row>
    <row r="12" spans="1:18">
      <c r="A12" s="2" t="s">
        <v>174</v>
      </c>
      <c r="B12" s="2" t="s">
        <v>175</v>
      </c>
      <c r="C12" s="2" t="s">
        <v>176</v>
      </c>
      <c r="D12" s="2" t="s">
        <v>177</v>
      </c>
      <c r="E12" s="2" t="s">
        <v>178</v>
      </c>
      <c r="F12" s="2" t="s">
        <v>179</v>
      </c>
      <c r="G12" s="2"/>
      <c r="H12" s="2"/>
      <c r="I12" s="2"/>
      <c r="J12" s="2" t="s">
        <v>180</v>
      </c>
      <c r="K12" s="3">
        <v>0</v>
      </c>
      <c r="L12" s="3">
        <v>0</v>
      </c>
      <c r="M12" s="2"/>
      <c r="N12" s="2" t="s">
        <v>181</v>
      </c>
      <c r="O12" s="2"/>
      <c r="P12" s="2"/>
      <c r="Q12" s="2"/>
      <c r="R12" s="3">
        <v>150</v>
      </c>
    </row>
    <row r="13" spans="1:18">
      <c r="A13" s="2" t="s">
        <v>182</v>
      </c>
      <c r="B13" s="2" t="s">
        <v>175</v>
      </c>
      <c r="C13" s="2" t="s">
        <v>176</v>
      </c>
      <c r="D13" s="2" t="s">
        <v>183</v>
      </c>
      <c r="E13" s="2" t="s">
        <v>184</v>
      </c>
      <c r="F13" s="2" t="s">
        <v>185</v>
      </c>
      <c r="G13" s="2" t="s">
        <v>184</v>
      </c>
      <c r="H13" s="2" t="s">
        <v>186</v>
      </c>
      <c r="I13" s="2"/>
      <c r="J13" s="2" t="s">
        <v>180</v>
      </c>
      <c r="K13" s="3">
        <v>0</v>
      </c>
      <c r="L13" s="3">
        <v>0</v>
      </c>
      <c r="M13" s="2"/>
      <c r="N13" s="2" t="s">
        <v>187</v>
      </c>
      <c r="O13" s="2"/>
      <c r="P13" s="2"/>
      <c r="Q13" s="2"/>
      <c r="R13" s="3">
        <v>150</v>
      </c>
    </row>
    <row r="14" spans="1:18">
      <c r="A14" s="2" t="s">
        <v>188</v>
      </c>
      <c r="B14" s="2" t="s">
        <v>175</v>
      </c>
      <c r="C14" s="2" t="s">
        <v>176</v>
      </c>
      <c r="D14" s="2" t="s">
        <v>189</v>
      </c>
      <c r="E14" s="2" t="s">
        <v>190</v>
      </c>
      <c r="F14" s="2"/>
      <c r="G14" s="2"/>
      <c r="H14" s="2"/>
      <c r="I14" s="2"/>
      <c r="J14" s="2" t="s">
        <v>180</v>
      </c>
      <c r="K14" s="3">
        <v>0</v>
      </c>
      <c r="L14" s="3">
        <v>0</v>
      </c>
      <c r="M14" s="2"/>
      <c r="N14" s="2" t="s">
        <v>191</v>
      </c>
      <c r="O14" s="2"/>
      <c r="P14" s="2"/>
      <c r="Q14" s="2"/>
      <c r="R14" s="3">
        <v>150</v>
      </c>
    </row>
    <row r="15" spans="1:18">
      <c r="A15" s="2" t="s">
        <v>192</v>
      </c>
      <c r="B15" s="2" t="s">
        <v>175</v>
      </c>
      <c r="C15" s="2" t="s">
        <v>176</v>
      </c>
      <c r="D15" s="2" t="s">
        <v>193</v>
      </c>
      <c r="E15" s="2" t="s">
        <v>190</v>
      </c>
      <c r="F15" s="2"/>
      <c r="G15" s="2"/>
      <c r="H15" s="2"/>
      <c r="I15" s="2"/>
      <c r="J15" s="2" t="s">
        <v>180</v>
      </c>
      <c r="K15" s="3">
        <v>0</v>
      </c>
      <c r="L15" s="3">
        <v>0</v>
      </c>
      <c r="M15" s="2"/>
      <c r="N15" s="2" t="s">
        <v>191</v>
      </c>
      <c r="O15" s="2"/>
      <c r="P15" s="2"/>
      <c r="Q15" s="2"/>
      <c r="R15" s="3">
        <v>150</v>
      </c>
    </row>
    <row r="16" spans="1:18">
      <c r="A16" s="2" t="s">
        <v>194</v>
      </c>
      <c r="B16" s="2" t="s">
        <v>175</v>
      </c>
      <c r="C16" s="2" t="s">
        <v>176</v>
      </c>
      <c r="D16" s="2" t="s">
        <v>195</v>
      </c>
      <c r="E16" s="2" t="s">
        <v>190</v>
      </c>
      <c r="F16" s="2"/>
      <c r="G16" s="2"/>
      <c r="H16" s="2"/>
      <c r="I16" s="2"/>
      <c r="J16" s="2" t="s">
        <v>180</v>
      </c>
      <c r="K16" s="3">
        <v>0</v>
      </c>
      <c r="L16" s="3">
        <v>0</v>
      </c>
      <c r="M16" s="2"/>
      <c r="N16" s="2" t="s">
        <v>196</v>
      </c>
      <c r="O16" s="2"/>
      <c r="P16" s="2"/>
      <c r="Q16" s="2"/>
      <c r="R16" s="3">
        <v>150</v>
      </c>
    </row>
    <row r="17" spans="1:18">
      <c r="A17" s="2" t="s">
        <v>197</v>
      </c>
      <c r="B17" s="2" t="s">
        <v>175</v>
      </c>
      <c r="C17" s="2" t="s">
        <v>176</v>
      </c>
      <c r="D17" s="2" t="s">
        <v>198</v>
      </c>
      <c r="E17" s="2" t="s">
        <v>199</v>
      </c>
      <c r="F17" s="2"/>
      <c r="G17" s="2"/>
      <c r="H17" s="2"/>
      <c r="I17" s="2"/>
      <c r="J17" s="2" t="s">
        <v>180</v>
      </c>
      <c r="K17" s="3">
        <v>0</v>
      </c>
      <c r="L17" s="3">
        <v>0</v>
      </c>
      <c r="M17" s="2"/>
      <c r="N17" s="2" t="s">
        <v>196</v>
      </c>
      <c r="O17" s="2"/>
      <c r="P17" s="2"/>
      <c r="Q17" s="2"/>
      <c r="R17" s="3">
        <v>150</v>
      </c>
    </row>
    <row r="18" spans="1:18">
      <c r="A18" s="2" t="s">
        <v>200</v>
      </c>
      <c r="B18" s="2" t="s">
        <v>175</v>
      </c>
      <c r="C18" s="2" t="s">
        <v>176</v>
      </c>
      <c r="D18" s="2" t="s">
        <v>201</v>
      </c>
      <c r="E18" s="2" t="s">
        <v>199</v>
      </c>
      <c r="F18" s="2"/>
      <c r="G18" s="2"/>
      <c r="H18" s="2"/>
      <c r="I18" s="2"/>
      <c r="J18" s="2" t="s">
        <v>180</v>
      </c>
      <c r="K18" s="3">
        <v>0</v>
      </c>
      <c r="L18" s="3">
        <v>0</v>
      </c>
      <c r="M18" s="2"/>
      <c r="N18" s="2" t="s">
        <v>196</v>
      </c>
      <c r="O18" s="2"/>
      <c r="P18" s="2"/>
      <c r="Q18" s="2"/>
      <c r="R18" s="3">
        <v>150</v>
      </c>
    </row>
    <row r="19" spans="1:18">
      <c r="A19" s="2" t="s">
        <v>202</v>
      </c>
      <c r="B19" s="2" t="s">
        <v>175</v>
      </c>
      <c r="C19" s="2" t="s">
        <v>176</v>
      </c>
      <c r="D19" s="2" t="s">
        <v>203</v>
      </c>
      <c r="E19" s="2" t="s">
        <v>199</v>
      </c>
      <c r="F19" s="2"/>
      <c r="G19" s="2"/>
      <c r="H19" s="2"/>
      <c r="I19" s="2"/>
      <c r="J19" s="2" t="s">
        <v>180</v>
      </c>
      <c r="K19" s="3">
        <v>0</v>
      </c>
      <c r="L19" s="3">
        <v>0</v>
      </c>
      <c r="M19" s="2"/>
      <c r="N19" s="2" t="s">
        <v>196</v>
      </c>
      <c r="O19" s="2"/>
      <c r="P19" s="2"/>
      <c r="Q19" s="2"/>
      <c r="R19" s="3">
        <v>150</v>
      </c>
    </row>
    <row r="20" spans="1:18">
      <c r="A20" s="2" t="s">
        <v>204</v>
      </c>
      <c r="B20" s="2" t="s">
        <v>175</v>
      </c>
      <c r="C20" s="2" t="s">
        <v>176</v>
      </c>
      <c r="D20" s="2" t="s">
        <v>205</v>
      </c>
      <c r="E20" s="2" t="s">
        <v>199</v>
      </c>
      <c r="F20" s="2"/>
      <c r="G20" s="2"/>
      <c r="H20" s="2"/>
      <c r="I20" s="2"/>
      <c r="J20" s="2" t="s">
        <v>180</v>
      </c>
      <c r="K20" s="3">
        <v>0</v>
      </c>
      <c r="L20" s="3">
        <v>0</v>
      </c>
      <c r="M20" s="2"/>
      <c r="N20" s="2" t="s">
        <v>196</v>
      </c>
      <c r="O20" s="2"/>
      <c r="P20" s="2"/>
      <c r="Q20" s="2"/>
      <c r="R20" s="3">
        <v>150</v>
      </c>
    </row>
    <row r="21" spans="1:18">
      <c r="A21" s="2" t="s">
        <v>206</v>
      </c>
      <c r="B21" s="2" t="s">
        <v>175</v>
      </c>
      <c r="C21" s="2" t="s">
        <v>176</v>
      </c>
      <c r="D21" s="2" t="s">
        <v>207</v>
      </c>
      <c r="E21" s="2" t="s">
        <v>199</v>
      </c>
      <c r="F21" s="2"/>
      <c r="G21" s="2"/>
      <c r="H21" s="2"/>
      <c r="I21" s="2"/>
      <c r="J21" s="2" t="s">
        <v>180</v>
      </c>
      <c r="K21" s="3">
        <v>0</v>
      </c>
      <c r="L21" s="3">
        <v>0</v>
      </c>
      <c r="M21" s="2"/>
      <c r="N21" s="2" t="s">
        <v>196</v>
      </c>
      <c r="O21" s="2"/>
      <c r="P21" s="2"/>
      <c r="Q21" s="2"/>
      <c r="R21" s="3">
        <v>150</v>
      </c>
    </row>
    <row r="22" spans="1:18">
      <c r="A22" s="2" t="s">
        <v>208</v>
      </c>
      <c r="B22" s="2" t="s">
        <v>175</v>
      </c>
      <c r="C22" s="2" t="s">
        <v>176</v>
      </c>
      <c r="D22" s="2" t="s">
        <v>209</v>
      </c>
      <c r="E22" s="2" t="s">
        <v>190</v>
      </c>
      <c r="F22" s="2" t="s">
        <v>210</v>
      </c>
      <c r="G22" s="2"/>
      <c r="H22" s="2"/>
      <c r="I22" s="2"/>
      <c r="J22" s="2" t="s">
        <v>180</v>
      </c>
      <c r="K22" s="3">
        <v>0</v>
      </c>
      <c r="L22" s="3">
        <v>0</v>
      </c>
      <c r="M22" s="2"/>
      <c r="N22" s="2" t="s">
        <v>211</v>
      </c>
      <c r="O22" s="2"/>
      <c r="P22" s="2"/>
      <c r="Q22" s="2"/>
      <c r="R22" s="3">
        <v>150</v>
      </c>
    </row>
    <row r="23" spans="1:18">
      <c r="A23" s="2" t="s">
        <v>212</v>
      </c>
      <c r="B23" s="2" t="s">
        <v>175</v>
      </c>
      <c r="C23" s="2" t="s">
        <v>176</v>
      </c>
      <c r="D23" s="2" t="s">
        <v>213</v>
      </c>
      <c r="E23" s="2" t="s">
        <v>190</v>
      </c>
      <c r="F23" s="2"/>
      <c r="G23" s="2"/>
      <c r="H23" s="2"/>
      <c r="I23" s="2"/>
      <c r="J23" s="2" t="s">
        <v>180</v>
      </c>
      <c r="K23" s="3">
        <v>0</v>
      </c>
      <c r="L23" s="3">
        <v>0</v>
      </c>
      <c r="M23" s="2"/>
      <c r="N23" s="2" t="s">
        <v>196</v>
      </c>
      <c r="O23" s="2"/>
      <c r="P23" s="2"/>
      <c r="Q23" s="2"/>
      <c r="R23" s="3">
        <v>150</v>
      </c>
    </row>
    <row r="24" spans="1:18">
      <c r="A24" s="2" t="s">
        <v>214</v>
      </c>
      <c r="B24" s="2" t="s">
        <v>175</v>
      </c>
      <c r="C24" s="2" t="s">
        <v>176</v>
      </c>
      <c r="D24" s="2" t="s">
        <v>215</v>
      </c>
      <c r="E24" s="2" t="s">
        <v>190</v>
      </c>
      <c r="F24" s="2"/>
      <c r="G24" s="2"/>
      <c r="H24" s="2"/>
      <c r="I24" s="2"/>
      <c r="J24" s="2" t="s">
        <v>180</v>
      </c>
      <c r="K24" s="3">
        <v>0</v>
      </c>
      <c r="L24" s="3">
        <v>0</v>
      </c>
      <c r="M24" s="2"/>
      <c r="N24" s="2" t="s">
        <v>196</v>
      </c>
      <c r="O24" s="2"/>
      <c r="P24" s="2"/>
      <c r="Q24" s="2"/>
      <c r="R24" s="3">
        <v>150</v>
      </c>
    </row>
    <row r="25" spans="1:18">
      <c r="A25" s="2" t="s">
        <v>216</v>
      </c>
      <c r="B25" s="2" t="s">
        <v>175</v>
      </c>
      <c r="C25" s="2" t="s">
        <v>176</v>
      </c>
      <c r="D25" s="2" t="s">
        <v>217</v>
      </c>
      <c r="E25" s="2" t="s">
        <v>190</v>
      </c>
      <c r="F25" s="2"/>
      <c r="G25" s="2"/>
      <c r="H25" s="2"/>
      <c r="I25" s="2"/>
      <c r="J25" s="2" t="s">
        <v>180</v>
      </c>
      <c r="K25" s="3">
        <v>0</v>
      </c>
      <c r="L25" s="3">
        <v>0</v>
      </c>
      <c r="M25" s="2"/>
      <c r="N25" s="2" t="s">
        <v>196</v>
      </c>
      <c r="O25" s="2"/>
      <c r="P25" s="2"/>
      <c r="Q25" s="2"/>
      <c r="R25" s="3">
        <v>150</v>
      </c>
    </row>
    <row r="26" spans="1:18">
      <c r="A26" s="2" t="s">
        <v>218</v>
      </c>
      <c r="B26" s="2" t="s">
        <v>175</v>
      </c>
      <c r="C26" s="2" t="s">
        <v>176</v>
      </c>
      <c r="D26" s="2" t="s">
        <v>219</v>
      </c>
      <c r="E26" s="2" t="s">
        <v>190</v>
      </c>
      <c r="F26" s="2"/>
      <c r="G26" s="2"/>
      <c r="H26" s="2"/>
      <c r="I26" s="2"/>
      <c r="J26" s="2" t="s">
        <v>180</v>
      </c>
      <c r="K26" s="3">
        <v>0</v>
      </c>
      <c r="L26" s="3">
        <v>0</v>
      </c>
      <c r="M26" s="2"/>
      <c r="N26" s="2" t="s">
        <v>196</v>
      </c>
      <c r="O26" s="2"/>
      <c r="P26" s="2"/>
      <c r="Q26" s="2"/>
      <c r="R26" s="3">
        <v>150</v>
      </c>
    </row>
    <row r="27" spans="1:18">
      <c r="A27" s="2" t="s">
        <v>220</v>
      </c>
      <c r="B27" s="2" t="s">
        <v>175</v>
      </c>
      <c r="C27" s="2" t="s">
        <v>176</v>
      </c>
      <c r="D27" s="2" t="s">
        <v>221</v>
      </c>
      <c r="E27" s="2" t="s">
        <v>222</v>
      </c>
      <c r="F27" s="2"/>
      <c r="G27" s="2"/>
      <c r="H27" s="2"/>
      <c r="I27" s="2"/>
      <c r="J27" s="2" t="s">
        <v>180</v>
      </c>
      <c r="K27" s="3">
        <v>0</v>
      </c>
      <c r="L27" s="3">
        <v>0</v>
      </c>
      <c r="M27" s="2"/>
      <c r="N27" s="2" t="s">
        <v>223</v>
      </c>
      <c r="O27" s="2"/>
      <c r="P27" s="2"/>
      <c r="Q27" s="2"/>
      <c r="R27" s="3">
        <v>150</v>
      </c>
    </row>
    <row r="28" spans="1:18">
      <c r="A28" s="2" t="s">
        <v>224</v>
      </c>
      <c r="B28" s="2" t="s">
        <v>175</v>
      </c>
      <c r="C28" s="2" t="s">
        <v>176</v>
      </c>
      <c r="D28" s="2" t="s">
        <v>221</v>
      </c>
      <c r="E28" s="2" t="s">
        <v>222</v>
      </c>
      <c r="F28" s="2"/>
      <c r="G28" s="2"/>
      <c r="H28" s="2"/>
      <c r="I28" s="2"/>
      <c r="J28" s="2" t="s">
        <v>180</v>
      </c>
      <c r="K28" s="3">
        <v>0</v>
      </c>
      <c r="L28" s="3">
        <v>0</v>
      </c>
      <c r="M28" s="2"/>
      <c r="N28" s="2" t="s">
        <v>223</v>
      </c>
      <c r="O28" s="2"/>
      <c r="P28" s="2"/>
      <c r="Q28" s="2"/>
      <c r="R28" s="3">
        <v>150</v>
      </c>
    </row>
    <row r="29" spans="1:18">
      <c r="A29" s="2" t="s">
        <v>225</v>
      </c>
      <c r="B29" s="2" t="s">
        <v>175</v>
      </c>
      <c r="C29" s="2" t="s">
        <v>176</v>
      </c>
      <c r="D29" s="2" t="s">
        <v>221</v>
      </c>
      <c r="E29" s="2" t="s">
        <v>222</v>
      </c>
      <c r="F29" s="2"/>
      <c r="G29" s="2"/>
      <c r="H29" s="2"/>
      <c r="I29" s="2"/>
      <c r="J29" s="2" t="s">
        <v>180</v>
      </c>
      <c r="K29" s="3">
        <v>0</v>
      </c>
      <c r="L29" s="3">
        <v>0</v>
      </c>
      <c r="M29" s="2"/>
      <c r="N29" s="2" t="s">
        <v>223</v>
      </c>
      <c r="O29" s="2"/>
      <c r="P29" s="2"/>
      <c r="Q29" s="2"/>
      <c r="R29" s="3">
        <v>150</v>
      </c>
    </row>
    <row r="30" spans="1:18">
      <c r="A30" s="2" t="s">
        <v>226</v>
      </c>
      <c r="B30" s="2" t="s">
        <v>175</v>
      </c>
      <c r="C30" s="2" t="s">
        <v>176</v>
      </c>
      <c r="D30" s="2" t="s">
        <v>221</v>
      </c>
      <c r="E30" s="2" t="s">
        <v>222</v>
      </c>
      <c r="F30" s="2"/>
      <c r="G30" s="2"/>
      <c r="H30" s="2"/>
      <c r="I30" s="2"/>
      <c r="J30" s="2" t="s">
        <v>180</v>
      </c>
      <c r="K30" s="3">
        <v>0</v>
      </c>
      <c r="L30" s="3">
        <v>0</v>
      </c>
      <c r="M30" s="2"/>
      <c r="N30" s="2" t="s">
        <v>223</v>
      </c>
      <c r="O30" s="2"/>
      <c r="P30" s="2"/>
      <c r="Q30" s="2"/>
      <c r="R30" s="3">
        <v>150</v>
      </c>
    </row>
    <row r="31" spans="1:18">
      <c r="A31" s="2" t="s">
        <v>227</v>
      </c>
      <c r="B31" s="2" t="s">
        <v>175</v>
      </c>
      <c r="C31" s="2" t="s">
        <v>176</v>
      </c>
      <c r="D31" s="2" t="s">
        <v>221</v>
      </c>
      <c r="E31" s="2" t="s">
        <v>222</v>
      </c>
      <c r="F31" s="2"/>
      <c r="G31" s="2"/>
      <c r="H31" s="2"/>
      <c r="I31" s="2"/>
      <c r="J31" s="2" t="s">
        <v>180</v>
      </c>
      <c r="K31" s="3">
        <v>0</v>
      </c>
      <c r="L31" s="3">
        <v>0</v>
      </c>
      <c r="M31" s="2"/>
      <c r="N31" s="2" t="s">
        <v>223</v>
      </c>
      <c r="O31" s="2"/>
      <c r="P31" s="2"/>
      <c r="Q31" s="2"/>
      <c r="R31" s="3">
        <v>150</v>
      </c>
    </row>
    <row r="32" spans="1:18">
      <c r="A32" s="2" t="s">
        <v>228</v>
      </c>
      <c r="B32" s="2" t="s">
        <v>175</v>
      </c>
      <c r="C32" s="2" t="s">
        <v>176</v>
      </c>
      <c r="D32" s="2" t="s">
        <v>221</v>
      </c>
      <c r="E32" s="2" t="s">
        <v>222</v>
      </c>
      <c r="F32" s="2"/>
      <c r="G32" s="2"/>
      <c r="H32" s="2"/>
      <c r="I32" s="2"/>
      <c r="J32" s="2" t="s">
        <v>180</v>
      </c>
      <c r="K32" s="3">
        <v>0</v>
      </c>
      <c r="L32" s="3">
        <v>0</v>
      </c>
      <c r="M32" s="2"/>
      <c r="N32" s="2" t="s">
        <v>223</v>
      </c>
      <c r="O32" s="2"/>
      <c r="P32" s="2"/>
      <c r="Q32" s="2"/>
      <c r="R32" s="3">
        <v>150</v>
      </c>
    </row>
    <row r="33" spans="1:18">
      <c r="A33" s="2" t="s">
        <v>229</v>
      </c>
      <c r="B33" s="2" t="s">
        <v>175</v>
      </c>
      <c r="C33" s="2" t="s">
        <v>176</v>
      </c>
      <c r="D33" s="2" t="s">
        <v>221</v>
      </c>
      <c r="E33" s="2" t="s">
        <v>222</v>
      </c>
      <c r="F33" s="2"/>
      <c r="G33" s="2"/>
      <c r="H33" s="2"/>
      <c r="I33" s="2"/>
      <c r="J33" s="2" t="s">
        <v>180</v>
      </c>
      <c r="K33" s="3">
        <v>0</v>
      </c>
      <c r="L33" s="3">
        <v>0</v>
      </c>
      <c r="M33" s="2"/>
      <c r="N33" s="2" t="s">
        <v>223</v>
      </c>
      <c r="O33" s="2"/>
      <c r="P33" s="2"/>
      <c r="Q33" s="2"/>
      <c r="R33" s="3">
        <v>150</v>
      </c>
    </row>
    <row r="34" spans="1:18">
      <c r="A34" s="2" t="s">
        <v>230</v>
      </c>
      <c r="B34" s="2" t="s">
        <v>175</v>
      </c>
      <c r="C34" s="2" t="s">
        <v>176</v>
      </c>
      <c r="D34" s="2" t="s">
        <v>221</v>
      </c>
      <c r="E34" s="2" t="s">
        <v>222</v>
      </c>
      <c r="F34" s="2"/>
      <c r="G34" s="2"/>
      <c r="H34" s="2"/>
      <c r="I34" s="2"/>
      <c r="J34" s="2" t="s">
        <v>180</v>
      </c>
      <c r="K34" s="3">
        <v>0</v>
      </c>
      <c r="L34" s="3">
        <v>0</v>
      </c>
      <c r="M34" s="2"/>
      <c r="N34" s="2" t="s">
        <v>223</v>
      </c>
      <c r="O34" s="2"/>
      <c r="P34" s="2"/>
      <c r="Q34" s="2"/>
      <c r="R34" s="3">
        <v>150</v>
      </c>
    </row>
    <row r="35" spans="1:18">
      <c r="A35" s="2" t="s">
        <v>231</v>
      </c>
      <c r="B35" s="2" t="s">
        <v>175</v>
      </c>
      <c r="C35" s="2" t="s">
        <v>176</v>
      </c>
      <c r="D35" s="2" t="s">
        <v>221</v>
      </c>
      <c r="E35" s="2" t="s">
        <v>222</v>
      </c>
      <c r="F35" s="2"/>
      <c r="G35" s="2"/>
      <c r="H35" s="2"/>
      <c r="I35" s="2"/>
      <c r="J35" s="2" t="s">
        <v>180</v>
      </c>
      <c r="K35" s="3">
        <v>0</v>
      </c>
      <c r="L35" s="3">
        <v>0</v>
      </c>
      <c r="M35" s="2"/>
      <c r="N35" s="2" t="s">
        <v>223</v>
      </c>
      <c r="O35" s="2"/>
      <c r="P35" s="2"/>
      <c r="Q35" s="2"/>
      <c r="R35" s="3">
        <v>150</v>
      </c>
    </row>
    <row r="36" spans="1:18">
      <c r="A36" s="2" t="s">
        <v>232</v>
      </c>
      <c r="B36" s="2" t="s">
        <v>175</v>
      </c>
      <c r="C36" s="2" t="s">
        <v>176</v>
      </c>
      <c r="D36" s="2" t="s">
        <v>233</v>
      </c>
      <c r="E36" s="2" t="s">
        <v>26</v>
      </c>
      <c r="F36" s="2"/>
      <c r="G36" s="2"/>
      <c r="H36" s="2"/>
      <c r="I36" s="2"/>
      <c r="J36" s="2" t="s">
        <v>180</v>
      </c>
      <c r="K36" s="3">
        <v>0</v>
      </c>
      <c r="L36" s="3">
        <v>0</v>
      </c>
      <c r="M36" s="2"/>
      <c r="N36" s="2" t="s">
        <v>234</v>
      </c>
      <c r="O36" s="2"/>
      <c r="P36" s="2"/>
      <c r="Q36" s="2"/>
      <c r="R36" s="3">
        <v>150</v>
      </c>
    </row>
    <row r="37" spans="1:18">
      <c r="A37" s="2" t="s">
        <v>235</v>
      </c>
      <c r="B37" s="2" t="s">
        <v>175</v>
      </c>
      <c r="C37" s="2" t="s">
        <v>176</v>
      </c>
      <c r="D37" s="2" t="s">
        <v>236</v>
      </c>
      <c r="E37" s="2" t="s">
        <v>26</v>
      </c>
      <c r="F37" s="2"/>
      <c r="G37" s="2"/>
      <c r="H37" s="2"/>
      <c r="I37" s="2"/>
      <c r="J37" s="2" t="s">
        <v>180</v>
      </c>
      <c r="K37" s="3">
        <v>0</v>
      </c>
      <c r="L37" s="3">
        <v>0</v>
      </c>
      <c r="M37" s="2"/>
      <c r="N37" s="2" t="s">
        <v>234</v>
      </c>
      <c r="O37" s="2"/>
      <c r="P37" s="2"/>
      <c r="Q37" s="2"/>
      <c r="R37" s="3">
        <v>150</v>
      </c>
    </row>
    <row r="38" spans="1:18">
      <c r="A38" s="2" t="s">
        <v>237</v>
      </c>
      <c r="B38" s="2" t="s">
        <v>175</v>
      </c>
      <c r="C38" s="2" t="s">
        <v>176</v>
      </c>
      <c r="D38" s="2" t="s">
        <v>238</v>
      </c>
      <c r="E38" s="2" t="s">
        <v>26</v>
      </c>
      <c r="F38" s="2"/>
      <c r="G38" s="2"/>
      <c r="H38" s="2"/>
      <c r="I38" s="2"/>
      <c r="J38" s="2" t="s">
        <v>180</v>
      </c>
      <c r="K38" s="3">
        <v>0</v>
      </c>
      <c r="L38" s="3">
        <v>0</v>
      </c>
      <c r="M38" s="2"/>
      <c r="N38" s="2" t="s">
        <v>234</v>
      </c>
      <c r="O38" s="2"/>
      <c r="P38" s="2"/>
      <c r="Q38" s="2"/>
      <c r="R38" s="3">
        <v>150</v>
      </c>
    </row>
    <row r="39" spans="1:18">
      <c r="A39" s="2" t="s">
        <v>239</v>
      </c>
      <c r="B39" s="2" t="s">
        <v>175</v>
      </c>
      <c r="C39" s="2" t="s">
        <v>176</v>
      </c>
      <c r="D39" s="2" t="s">
        <v>238</v>
      </c>
      <c r="E39" s="2" t="s">
        <v>26</v>
      </c>
      <c r="F39" s="2"/>
      <c r="G39" s="2"/>
      <c r="H39" s="2"/>
      <c r="I39" s="2"/>
      <c r="J39" s="2" t="s">
        <v>180</v>
      </c>
      <c r="K39" s="3">
        <v>0</v>
      </c>
      <c r="L39" s="3">
        <v>0</v>
      </c>
      <c r="M39" s="2"/>
      <c r="N39" s="2" t="s">
        <v>234</v>
      </c>
      <c r="O39" s="2"/>
      <c r="P39" s="2"/>
      <c r="Q39" s="2"/>
      <c r="R39" s="3">
        <v>150</v>
      </c>
    </row>
    <row r="40" spans="1:18">
      <c r="A40" s="2" t="s">
        <v>240</v>
      </c>
      <c r="B40" s="2" t="s">
        <v>175</v>
      </c>
      <c r="C40" s="2" t="s">
        <v>176</v>
      </c>
      <c r="D40" s="2" t="s">
        <v>241</v>
      </c>
      <c r="E40" s="2" t="s">
        <v>26</v>
      </c>
      <c r="F40" s="2"/>
      <c r="G40" s="2"/>
      <c r="H40" s="2"/>
      <c r="I40" s="2"/>
      <c r="J40" s="2" t="s">
        <v>180</v>
      </c>
      <c r="K40" s="3">
        <v>0</v>
      </c>
      <c r="L40" s="3">
        <v>0</v>
      </c>
      <c r="M40" s="2"/>
      <c r="N40" s="2" t="s">
        <v>234</v>
      </c>
      <c r="O40" s="2"/>
      <c r="P40" s="2"/>
      <c r="Q40" s="2"/>
      <c r="R40" s="3">
        <v>150</v>
      </c>
    </row>
    <row r="41" spans="1:18">
      <c r="A41" s="2" t="s">
        <v>242</v>
      </c>
      <c r="B41" s="2" t="s">
        <v>175</v>
      </c>
      <c r="C41" s="2" t="s">
        <v>176</v>
      </c>
      <c r="D41" s="2" t="s">
        <v>243</v>
      </c>
      <c r="E41" s="2" t="s">
        <v>26</v>
      </c>
      <c r="F41" s="2"/>
      <c r="G41" s="2"/>
      <c r="H41" s="2"/>
      <c r="I41" s="2"/>
      <c r="J41" s="2" t="s">
        <v>180</v>
      </c>
      <c r="K41" s="3">
        <v>0</v>
      </c>
      <c r="L41" s="3">
        <v>0</v>
      </c>
      <c r="M41" s="2"/>
      <c r="N41" s="2" t="s">
        <v>234</v>
      </c>
      <c r="O41" s="2"/>
      <c r="P41" s="2"/>
      <c r="Q41" s="2"/>
      <c r="R41" s="3">
        <v>150</v>
      </c>
    </row>
    <row r="42" spans="1:18">
      <c r="A42" s="2" t="s">
        <v>244</v>
      </c>
      <c r="B42" s="2" t="s">
        <v>175</v>
      </c>
      <c r="C42" s="2" t="s">
        <v>176</v>
      </c>
      <c r="D42" s="2" t="s">
        <v>245</v>
      </c>
      <c r="E42" s="2" t="s">
        <v>26</v>
      </c>
      <c r="F42" s="2"/>
      <c r="G42" s="2"/>
      <c r="H42" s="2"/>
      <c r="I42" s="2"/>
      <c r="J42" s="2" t="s">
        <v>180</v>
      </c>
      <c r="K42" s="3">
        <v>0</v>
      </c>
      <c r="L42" s="3">
        <v>0</v>
      </c>
      <c r="M42" s="2"/>
      <c r="N42" s="2" t="s">
        <v>234</v>
      </c>
      <c r="O42" s="2"/>
      <c r="P42" s="2"/>
      <c r="Q42" s="2"/>
      <c r="R42" s="3">
        <v>150</v>
      </c>
    </row>
    <row r="43" spans="1:18">
      <c r="A43" s="2" t="s">
        <v>246</v>
      </c>
      <c r="B43" s="2" t="s">
        <v>175</v>
      </c>
      <c r="C43" s="2" t="s">
        <v>176</v>
      </c>
      <c r="D43" s="2" t="s">
        <v>245</v>
      </c>
      <c r="E43" s="2" t="s">
        <v>26</v>
      </c>
      <c r="F43" s="2"/>
      <c r="G43" s="2"/>
      <c r="H43" s="2"/>
      <c r="I43" s="2"/>
      <c r="J43" s="2" t="s">
        <v>180</v>
      </c>
      <c r="K43" s="3">
        <v>0</v>
      </c>
      <c r="L43" s="3">
        <v>0</v>
      </c>
      <c r="M43" s="2"/>
      <c r="N43" s="2" t="s">
        <v>234</v>
      </c>
      <c r="O43" s="2"/>
      <c r="P43" s="2"/>
      <c r="Q43" s="2"/>
      <c r="R43" s="3">
        <v>150</v>
      </c>
    </row>
    <row r="44" spans="1:18">
      <c r="A44" s="2" t="s">
        <v>247</v>
      </c>
      <c r="B44" s="2" t="s">
        <v>175</v>
      </c>
      <c r="C44" s="2" t="s">
        <v>176</v>
      </c>
      <c r="D44" s="2" t="s">
        <v>248</v>
      </c>
      <c r="E44" s="2" t="s">
        <v>26</v>
      </c>
      <c r="F44" s="2"/>
      <c r="G44" s="2"/>
      <c r="H44" s="2"/>
      <c r="I44" s="2"/>
      <c r="J44" s="2" t="s">
        <v>180</v>
      </c>
      <c r="K44" s="3">
        <v>0</v>
      </c>
      <c r="L44" s="3">
        <v>0</v>
      </c>
      <c r="M44" s="2"/>
      <c r="N44" s="2" t="s">
        <v>234</v>
      </c>
      <c r="O44" s="2"/>
      <c r="P44" s="2"/>
      <c r="Q44" s="2"/>
      <c r="R44" s="3">
        <v>150</v>
      </c>
    </row>
  </sheetData>
  <autoFilter ref="A1:R44"/>
  <conditionalFormatting sqref="J2:J501">
    <cfRule type="containsText" dxfId="0" priority="1" operator="containsText" text="Won/Paid">
      <formula>NOT(ISERROR(SEARCH("Won/Paid",J2)))</formula>
    </cfRule>
    <cfRule type="containsText" dxfId="1" priority="2" operator="containsText" text="Do Not Contact">
      <formula>NOT(ISERROR(SEARCH("Do Not Contact",J2)))</formula>
    </cfRule>
  </conditionalFormatting>
  <dataValidations count="1">
    <dataValidation type="list" allowBlank="1" showInputMessage="1" showErrorMessage="1" sqref="J2:J501">
      <formula1>"Contact Ready,Contacted,Replied,Negotiating,Won/Paid,Fulfilled,Follow-up,Lost/Not a Fit,Do Not Contact,Reverify"</formula1>
    </dataValidation>
  </dataValidations>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7"/>
  <sheetViews>
    <sheetView workbookViewId="0">
      <pane ySplit="1" topLeftCell="A2" activePane="bottomLeft" state="frozen"/>
      <selection pane="bottomLeft"/>
    </sheetView>
  </sheetViews>
  <sheetFormatPr defaultRowHeight="15"/>
  <cols>
    <col min="1" max="1" width="32.7109375" customWidth="1"/>
    <col min="2" max="2" width="24.7109375" customWidth="1"/>
    <col min="3" max="3" width="44.7109375" customWidth="1"/>
    <col min="4" max="4" width="24.7109375" customWidth="1"/>
    <col min="5" max="5" width="44.7109375" customWidth="1"/>
    <col min="6" max="6" width="24.7109375" customWidth="1"/>
    <col min="7" max="7" width="44.7109375" customWidth="1"/>
    <col min="8" max="8" width="36.7109375" customWidth="1"/>
    <col min="9" max="9" width="18.7109375" customWidth="1"/>
    <col min="10" max="10" width="66.7109375" customWidth="1"/>
    <col min="11" max="11" width="12.7109375" customWidth="1"/>
    <col min="12" max="12" width="14.7109375" customWidth="1"/>
  </cols>
  <sheetData>
    <row r="1" spans="1:12">
      <c r="A1" s="1" t="s">
        <v>1</v>
      </c>
      <c r="B1" s="1" t="s">
        <v>160</v>
      </c>
      <c r="C1" s="1" t="s">
        <v>249</v>
      </c>
      <c r="D1" s="1" t="s">
        <v>162</v>
      </c>
      <c r="E1" s="1" t="s">
        <v>250</v>
      </c>
      <c r="F1" s="1" t="s">
        <v>164</v>
      </c>
      <c r="G1" s="1" t="s">
        <v>251</v>
      </c>
      <c r="H1" s="1" t="s">
        <v>165</v>
      </c>
      <c r="I1" s="1" t="s">
        <v>118</v>
      </c>
      <c r="J1" s="1" t="s">
        <v>169</v>
      </c>
      <c r="K1" s="1" t="s">
        <v>167</v>
      </c>
      <c r="L1" s="1" t="s">
        <v>168</v>
      </c>
    </row>
    <row r="2" spans="1:12">
      <c r="A2" s="2" t="s">
        <v>182</v>
      </c>
      <c r="B2" s="2" t="s">
        <v>183</v>
      </c>
      <c r="C2" s="2" t="s">
        <v>252</v>
      </c>
      <c r="D2" s="2" t="s">
        <v>185</v>
      </c>
      <c r="E2" s="2" t="s">
        <v>253</v>
      </c>
      <c r="F2" s="2" t="s">
        <v>186</v>
      </c>
      <c r="G2" s="2" t="s">
        <v>254</v>
      </c>
      <c r="H2" s="2"/>
      <c r="I2" s="2" t="s">
        <v>180</v>
      </c>
      <c r="J2" s="2" t="s">
        <v>187</v>
      </c>
      <c r="K2" s="3">
        <v>0</v>
      </c>
      <c r="L2" s="2"/>
    </row>
    <row r="3" spans="1:12">
      <c r="A3" s="2" t="s">
        <v>218</v>
      </c>
      <c r="B3" s="2" t="s">
        <v>219</v>
      </c>
      <c r="C3" s="2" t="s">
        <v>255</v>
      </c>
      <c r="D3" s="2"/>
      <c r="E3" s="2"/>
      <c r="F3" s="2"/>
      <c r="G3" s="2"/>
      <c r="H3" s="2"/>
      <c r="I3" s="2" t="s">
        <v>180</v>
      </c>
      <c r="J3" s="2" t="s">
        <v>196</v>
      </c>
      <c r="K3" s="3">
        <v>0</v>
      </c>
      <c r="L3" s="2"/>
    </row>
    <row r="4" spans="1:12">
      <c r="A4" s="2" t="s">
        <v>192</v>
      </c>
      <c r="B4" s="2" t="s">
        <v>193</v>
      </c>
      <c r="C4" s="2" t="s">
        <v>256</v>
      </c>
      <c r="D4" s="2"/>
      <c r="E4" s="2"/>
      <c r="F4" s="2"/>
      <c r="G4" s="2"/>
      <c r="H4" s="2"/>
      <c r="I4" s="2" t="s">
        <v>180</v>
      </c>
      <c r="J4" s="2" t="s">
        <v>191</v>
      </c>
      <c r="K4" s="3">
        <v>0</v>
      </c>
      <c r="L4" s="2"/>
    </row>
    <row r="5" spans="1:12">
      <c r="A5" s="2" t="s">
        <v>208</v>
      </c>
      <c r="B5" s="2" t="s">
        <v>209</v>
      </c>
      <c r="C5" s="2" t="s">
        <v>257</v>
      </c>
      <c r="D5" s="2" t="s">
        <v>210</v>
      </c>
      <c r="E5" s="2" t="s">
        <v>258</v>
      </c>
      <c r="F5" s="2"/>
      <c r="G5" s="2"/>
      <c r="H5" s="2"/>
      <c r="I5" s="2" t="s">
        <v>180</v>
      </c>
      <c r="J5" s="2" t="s">
        <v>211</v>
      </c>
      <c r="K5" s="3">
        <v>0</v>
      </c>
      <c r="L5" s="2"/>
    </row>
    <row r="6" spans="1:12">
      <c r="A6" s="2" t="s">
        <v>216</v>
      </c>
      <c r="B6" s="2" t="s">
        <v>217</v>
      </c>
      <c r="C6" s="2" t="s">
        <v>259</v>
      </c>
      <c r="D6" s="2"/>
      <c r="E6" s="2"/>
      <c r="F6" s="2"/>
      <c r="G6" s="2"/>
      <c r="H6" s="2"/>
      <c r="I6" s="2" t="s">
        <v>180</v>
      </c>
      <c r="J6" s="2" t="s">
        <v>196</v>
      </c>
      <c r="K6" s="3">
        <v>0</v>
      </c>
      <c r="L6" s="2"/>
    </row>
    <row r="7" spans="1:12">
      <c r="A7" s="2" t="s">
        <v>214</v>
      </c>
      <c r="B7" s="2" t="s">
        <v>215</v>
      </c>
      <c r="C7" s="2" t="s">
        <v>260</v>
      </c>
      <c r="D7" s="2"/>
      <c r="E7" s="2"/>
      <c r="F7" s="2"/>
      <c r="G7" s="2"/>
      <c r="H7" s="2"/>
      <c r="I7" s="2" t="s">
        <v>180</v>
      </c>
      <c r="J7" s="2" t="s">
        <v>196</v>
      </c>
      <c r="K7" s="3">
        <v>0</v>
      </c>
      <c r="L7" s="2"/>
    </row>
    <row r="8" spans="1:12">
      <c r="A8" s="2" t="s">
        <v>188</v>
      </c>
      <c r="B8" s="2" t="s">
        <v>189</v>
      </c>
      <c r="C8" s="2" t="s">
        <v>261</v>
      </c>
      <c r="D8" s="2"/>
      <c r="E8" s="2"/>
      <c r="F8" s="2"/>
      <c r="G8" s="2"/>
      <c r="H8" s="2"/>
      <c r="I8" s="2" t="s">
        <v>180</v>
      </c>
      <c r="J8" s="2" t="s">
        <v>191</v>
      </c>
      <c r="K8" s="3">
        <v>0</v>
      </c>
      <c r="L8" s="2"/>
    </row>
    <row r="9" spans="1:12">
      <c r="A9" s="2" t="s">
        <v>174</v>
      </c>
      <c r="B9" s="2" t="s">
        <v>177</v>
      </c>
      <c r="C9" s="2" t="s">
        <v>262</v>
      </c>
      <c r="D9" s="2" t="s">
        <v>179</v>
      </c>
      <c r="E9" s="2" t="s">
        <v>263</v>
      </c>
      <c r="F9" s="2"/>
      <c r="G9" s="2"/>
      <c r="H9" s="2"/>
      <c r="I9" s="2" t="s">
        <v>180</v>
      </c>
      <c r="J9" s="2" t="s">
        <v>181</v>
      </c>
      <c r="K9" s="3">
        <v>0</v>
      </c>
      <c r="L9" s="2"/>
    </row>
    <row r="10" spans="1:12">
      <c r="A10" s="2" t="s">
        <v>194</v>
      </c>
      <c r="B10" s="2" t="s">
        <v>195</v>
      </c>
      <c r="C10" s="2" t="s">
        <v>264</v>
      </c>
      <c r="D10" s="2"/>
      <c r="E10" s="2"/>
      <c r="F10" s="2"/>
      <c r="G10" s="2"/>
      <c r="H10" s="2"/>
      <c r="I10" s="2" t="s">
        <v>180</v>
      </c>
      <c r="J10" s="2" t="s">
        <v>196</v>
      </c>
      <c r="K10" s="3">
        <v>0</v>
      </c>
      <c r="L10" s="2"/>
    </row>
    <row r="11" spans="1:12">
      <c r="A11" s="2" t="s">
        <v>212</v>
      </c>
      <c r="B11" s="2" t="s">
        <v>213</v>
      </c>
      <c r="C11" s="2" t="s">
        <v>265</v>
      </c>
      <c r="D11" s="2"/>
      <c r="E11" s="2"/>
      <c r="F11" s="2"/>
      <c r="G11" s="2"/>
      <c r="H11" s="2"/>
      <c r="I11" s="2" t="s">
        <v>180</v>
      </c>
      <c r="J11" s="2" t="s">
        <v>196</v>
      </c>
      <c r="K11" s="3">
        <v>0</v>
      </c>
      <c r="L11" s="2"/>
    </row>
    <row r="12" spans="1:12">
      <c r="A12" s="2" t="s">
        <v>266</v>
      </c>
      <c r="B12" s="2" t="s">
        <v>267</v>
      </c>
      <c r="C12" s="2" t="s">
        <v>268</v>
      </c>
      <c r="D12" s="2"/>
      <c r="E12" s="2"/>
      <c r="F12" s="2"/>
      <c r="G12" s="2"/>
      <c r="H12" s="2"/>
      <c r="I12" s="2" t="s">
        <v>180</v>
      </c>
      <c r="J12" s="2" t="s">
        <v>269</v>
      </c>
      <c r="K12" s="3">
        <v>0</v>
      </c>
      <c r="L12" s="2"/>
    </row>
    <row r="13" spans="1:12">
      <c r="A13" s="2" t="s">
        <v>202</v>
      </c>
      <c r="B13" s="2" t="s">
        <v>203</v>
      </c>
      <c r="C13" s="2" t="s">
        <v>270</v>
      </c>
      <c r="D13" s="2"/>
      <c r="E13" s="2"/>
      <c r="F13" s="2"/>
      <c r="G13" s="2"/>
      <c r="H13" s="2"/>
      <c r="I13" s="2" t="s">
        <v>180</v>
      </c>
      <c r="J13" s="2" t="s">
        <v>196</v>
      </c>
      <c r="K13" s="3">
        <v>0</v>
      </c>
      <c r="L13" s="2"/>
    </row>
    <row r="14" spans="1:12">
      <c r="A14" s="2" t="s">
        <v>197</v>
      </c>
      <c r="B14" s="2" t="s">
        <v>198</v>
      </c>
      <c r="C14" s="2" t="s">
        <v>271</v>
      </c>
      <c r="D14" s="2"/>
      <c r="E14" s="2"/>
      <c r="F14" s="2"/>
      <c r="G14" s="2"/>
      <c r="H14" s="2"/>
      <c r="I14" s="2" t="s">
        <v>180</v>
      </c>
      <c r="J14" s="2" t="s">
        <v>196</v>
      </c>
      <c r="K14" s="3">
        <v>0</v>
      </c>
      <c r="L14" s="2"/>
    </row>
    <row r="15" spans="1:12">
      <c r="A15" s="2" t="s">
        <v>204</v>
      </c>
      <c r="B15" s="2" t="s">
        <v>205</v>
      </c>
      <c r="C15" s="2" t="s">
        <v>272</v>
      </c>
      <c r="D15" s="2"/>
      <c r="E15" s="2"/>
      <c r="F15" s="2"/>
      <c r="G15" s="2"/>
      <c r="H15" s="2"/>
      <c r="I15" s="2" t="s">
        <v>180</v>
      </c>
      <c r="J15" s="2" t="s">
        <v>196</v>
      </c>
      <c r="K15" s="3">
        <v>0</v>
      </c>
      <c r="L15" s="2"/>
    </row>
    <row r="16" spans="1:12">
      <c r="A16" s="2" t="s">
        <v>206</v>
      </c>
      <c r="B16" s="2" t="s">
        <v>207</v>
      </c>
      <c r="C16" s="2" t="s">
        <v>273</v>
      </c>
      <c r="D16" s="2"/>
      <c r="E16" s="2"/>
      <c r="F16" s="2"/>
      <c r="G16" s="2"/>
      <c r="H16" s="2"/>
      <c r="I16" s="2" t="s">
        <v>180</v>
      </c>
      <c r="J16" s="2" t="s">
        <v>196</v>
      </c>
      <c r="K16" s="3">
        <v>0</v>
      </c>
      <c r="L16" s="2"/>
    </row>
    <row r="17" spans="1:12">
      <c r="A17" s="2" t="s">
        <v>200</v>
      </c>
      <c r="B17" s="2" t="s">
        <v>201</v>
      </c>
      <c r="C17" s="2" t="s">
        <v>274</v>
      </c>
      <c r="D17" s="2"/>
      <c r="E17" s="2"/>
      <c r="F17" s="2"/>
      <c r="G17" s="2"/>
      <c r="H17" s="2"/>
      <c r="I17" s="2" t="s">
        <v>180</v>
      </c>
      <c r="J17" s="2" t="s">
        <v>196</v>
      </c>
      <c r="K17" s="3">
        <v>0</v>
      </c>
      <c r="L17" s="2"/>
    </row>
    <row r="18" spans="1:12">
      <c r="A18" s="2" t="s">
        <v>220</v>
      </c>
      <c r="B18" s="2" t="s">
        <v>221</v>
      </c>
      <c r="C18" s="2" t="s">
        <v>275</v>
      </c>
      <c r="D18" s="2"/>
      <c r="E18" s="2"/>
      <c r="F18" s="2"/>
      <c r="G18" s="2"/>
      <c r="H18" s="2"/>
      <c r="I18" s="2" t="s">
        <v>180</v>
      </c>
      <c r="J18" s="2" t="s">
        <v>223</v>
      </c>
      <c r="K18" s="3">
        <v>0</v>
      </c>
      <c r="L18" s="2"/>
    </row>
    <row r="19" spans="1:12">
      <c r="A19" s="2" t="s">
        <v>224</v>
      </c>
      <c r="B19" s="2" t="s">
        <v>221</v>
      </c>
      <c r="C19" s="2" t="s">
        <v>276</v>
      </c>
      <c r="D19" s="2"/>
      <c r="E19" s="2"/>
      <c r="F19" s="2"/>
      <c r="G19" s="2"/>
      <c r="H19" s="2"/>
      <c r="I19" s="2" t="s">
        <v>180</v>
      </c>
      <c r="J19" s="2" t="s">
        <v>223</v>
      </c>
      <c r="K19" s="3">
        <v>0</v>
      </c>
      <c r="L19" s="2"/>
    </row>
    <row r="20" spans="1:12">
      <c r="A20" s="2" t="s">
        <v>225</v>
      </c>
      <c r="B20" s="2" t="s">
        <v>221</v>
      </c>
      <c r="C20" s="2" t="s">
        <v>277</v>
      </c>
      <c r="D20" s="2"/>
      <c r="E20" s="2"/>
      <c r="F20" s="2"/>
      <c r="G20" s="2"/>
      <c r="H20" s="2"/>
      <c r="I20" s="2" t="s">
        <v>180</v>
      </c>
      <c r="J20" s="2" t="s">
        <v>223</v>
      </c>
      <c r="K20" s="3">
        <v>0</v>
      </c>
      <c r="L20" s="2"/>
    </row>
    <row r="21" spans="1:12">
      <c r="A21" s="2" t="s">
        <v>226</v>
      </c>
      <c r="B21" s="2" t="s">
        <v>221</v>
      </c>
      <c r="C21" s="2" t="s">
        <v>278</v>
      </c>
      <c r="D21" s="2"/>
      <c r="E21" s="2"/>
      <c r="F21" s="2"/>
      <c r="G21" s="2"/>
      <c r="H21" s="2"/>
      <c r="I21" s="2" t="s">
        <v>180</v>
      </c>
      <c r="J21" s="2" t="s">
        <v>223</v>
      </c>
      <c r="K21" s="3">
        <v>0</v>
      </c>
      <c r="L21" s="2"/>
    </row>
    <row r="22" spans="1:12">
      <c r="A22" s="2" t="s">
        <v>227</v>
      </c>
      <c r="B22" s="2" t="s">
        <v>221</v>
      </c>
      <c r="C22" s="2" t="s">
        <v>279</v>
      </c>
      <c r="D22" s="2"/>
      <c r="E22" s="2"/>
      <c r="F22" s="2"/>
      <c r="G22" s="2"/>
      <c r="H22" s="2"/>
      <c r="I22" s="2" t="s">
        <v>180</v>
      </c>
      <c r="J22" s="2" t="s">
        <v>223</v>
      </c>
      <c r="K22" s="3">
        <v>0</v>
      </c>
      <c r="L22" s="2"/>
    </row>
    <row r="23" spans="1:12">
      <c r="A23" s="2" t="s">
        <v>228</v>
      </c>
      <c r="B23" s="2" t="s">
        <v>221</v>
      </c>
      <c r="C23" s="2" t="s">
        <v>280</v>
      </c>
      <c r="D23" s="2"/>
      <c r="E23" s="2"/>
      <c r="F23" s="2"/>
      <c r="G23" s="2"/>
      <c r="H23" s="2"/>
      <c r="I23" s="2" t="s">
        <v>180</v>
      </c>
      <c r="J23" s="2" t="s">
        <v>223</v>
      </c>
      <c r="K23" s="3">
        <v>0</v>
      </c>
      <c r="L23" s="2"/>
    </row>
    <row r="24" spans="1:12">
      <c r="A24" s="2" t="s">
        <v>229</v>
      </c>
      <c r="B24" s="2" t="s">
        <v>221</v>
      </c>
      <c r="C24" s="2" t="s">
        <v>281</v>
      </c>
      <c r="D24" s="2"/>
      <c r="E24" s="2"/>
      <c r="F24" s="2"/>
      <c r="G24" s="2"/>
      <c r="H24" s="2"/>
      <c r="I24" s="2" t="s">
        <v>180</v>
      </c>
      <c r="J24" s="2" t="s">
        <v>223</v>
      </c>
      <c r="K24" s="3">
        <v>0</v>
      </c>
      <c r="L24" s="2"/>
    </row>
    <row r="25" spans="1:12">
      <c r="A25" s="2" t="s">
        <v>230</v>
      </c>
      <c r="B25" s="2" t="s">
        <v>221</v>
      </c>
      <c r="C25" s="2" t="s">
        <v>282</v>
      </c>
      <c r="D25" s="2"/>
      <c r="E25" s="2"/>
      <c r="F25" s="2"/>
      <c r="G25" s="2"/>
      <c r="H25" s="2"/>
      <c r="I25" s="2" t="s">
        <v>180</v>
      </c>
      <c r="J25" s="2" t="s">
        <v>223</v>
      </c>
      <c r="K25" s="3">
        <v>0</v>
      </c>
      <c r="L25" s="2"/>
    </row>
    <row r="26" spans="1:12">
      <c r="A26" s="2" t="s">
        <v>231</v>
      </c>
      <c r="B26" s="2" t="s">
        <v>221</v>
      </c>
      <c r="C26" s="2" t="s">
        <v>283</v>
      </c>
      <c r="D26" s="2"/>
      <c r="E26" s="2"/>
      <c r="F26" s="2"/>
      <c r="G26" s="2"/>
      <c r="H26" s="2"/>
      <c r="I26" s="2" t="s">
        <v>180</v>
      </c>
      <c r="J26" s="2" t="s">
        <v>223</v>
      </c>
      <c r="K26" s="3">
        <v>0</v>
      </c>
      <c r="L26" s="2"/>
    </row>
    <row r="27" spans="1:12">
      <c r="A27" s="2" t="s">
        <v>284</v>
      </c>
      <c r="B27" s="2" t="s">
        <v>221</v>
      </c>
      <c r="C27" s="2" t="s">
        <v>285</v>
      </c>
      <c r="D27" s="2"/>
      <c r="E27" s="2"/>
      <c r="F27" s="2"/>
      <c r="G27" s="2"/>
      <c r="H27" s="2"/>
      <c r="I27" s="2" t="s">
        <v>286</v>
      </c>
      <c r="J27" s="2" t="s">
        <v>287</v>
      </c>
      <c r="K27" s="3">
        <v>0</v>
      </c>
      <c r="L27" s="2"/>
    </row>
    <row r="28" spans="1:12">
      <c r="A28" s="2" t="s">
        <v>232</v>
      </c>
      <c r="B28" s="2" t="s">
        <v>233</v>
      </c>
      <c r="C28" s="2" t="s">
        <v>288</v>
      </c>
      <c r="D28" s="2"/>
      <c r="E28" s="2"/>
      <c r="F28" s="2"/>
      <c r="G28" s="2"/>
      <c r="H28" s="2"/>
      <c r="I28" s="2" t="s">
        <v>180</v>
      </c>
      <c r="J28" s="2" t="s">
        <v>234</v>
      </c>
      <c r="K28" s="3">
        <v>0</v>
      </c>
      <c r="L28" s="2"/>
    </row>
    <row r="29" spans="1:12">
      <c r="A29" s="2" t="s">
        <v>235</v>
      </c>
      <c r="B29" s="2" t="s">
        <v>236</v>
      </c>
      <c r="C29" s="2" t="s">
        <v>289</v>
      </c>
      <c r="D29" s="2"/>
      <c r="E29" s="2"/>
      <c r="F29" s="2"/>
      <c r="G29" s="2"/>
      <c r="H29" s="2"/>
      <c r="I29" s="2" t="s">
        <v>180</v>
      </c>
      <c r="J29" s="2" t="s">
        <v>234</v>
      </c>
      <c r="K29" s="3">
        <v>0</v>
      </c>
      <c r="L29" s="2"/>
    </row>
    <row r="30" spans="1:12">
      <c r="A30" s="2" t="s">
        <v>290</v>
      </c>
      <c r="B30" s="2" t="s">
        <v>236</v>
      </c>
      <c r="C30" s="2" t="s">
        <v>291</v>
      </c>
      <c r="D30" s="2"/>
      <c r="E30" s="2"/>
      <c r="F30" s="2"/>
      <c r="G30" s="2"/>
      <c r="H30" s="2"/>
      <c r="I30" s="2" t="s">
        <v>286</v>
      </c>
      <c r="J30" s="2" t="s">
        <v>292</v>
      </c>
      <c r="K30" s="3">
        <v>0</v>
      </c>
      <c r="L30" s="2"/>
    </row>
    <row r="31" spans="1:12">
      <c r="A31" s="2" t="s">
        <v>237</v>
      </c>
      <c r="B31" s="2" t="s">
        <v>238</v>
      </c>
      <c r="C31" s="2" t="s">
        <v>293</v>
      </c>
      <c r="D31" s="2"/>
      <c r="E31" s="2"/>
      <c r="F31" s="2"/>
      <c r="G31" s="2"/>
      <c r="H31" s="2"/>
      <c r="I31" s="2" t="s">
        <v>180</v>
      </c>
      <c r="J31" s="2" t="s">
        <v>234</v>
      </c>
      <c r="K31" s="3">
        <v>0</v>
      </c>
      <c r="L31" s="2"/>
    </row>
    <row r="32" spans="1:12">
      <c r="A32" s="2" t="s">
        <v>239</v>
      </c>
      <c r="B32" s="2" t="s">
        <v>238</v>
      </c>
      <c r="C32" s="2" t="s">
        <v>294</v>
      </c>
      <c r="D32" s="2"/>
      <c r="E32" s="2"/>
      <c r="F32" s="2"/>
      <c r="G32" s="2"/>
      <c r="H32" s="2"/>
      <c r="I32" s="2" t="s">
        <v>180</v>
      </c>
      <c r="J32" s="2" t="s">
        <v>234</v>
      </c>
      <c r="K32" s="3">
        <v>0</v>
      </c>
      <c r="L32" s="2"/>
    </row>
    <row r="33" spans="1:12">
      <c r="A33" s="2" t="s">
        <v>240</v>
      </c>
      <c r="B33" s="2" t="s">
        <v>241</v>
      </c>
      <c r="C33" s="2" t="s">
        <v>295</v>
      </c>
      <c r="D33" s="2"/>
      <c r="E33" s="2"/>
      <c r="F33" s="2"/>
      <c r="G33" s="2"/>
      <c r="H33" s="2"/>
      <c r="I33" s="2" t="s">
        <v>180</v>
      </c>
      <c r="J33" s="2" t="s">
        <v>234</v>
      </c>
      <c r="K33" s="3">
        <v>0</v>
      </c>
      <c r="L33" s="2"/>
    </row>
    <row r="34" spans="1:12">
      <c r="A34" s="2" t="s">
        <v>242</v>
      </c>
      <c r="B34" s="2" t="s">
        <v>243</v>
      </c>
      <c r="C34" s="2" t="s">
        <v>296</v>
      </c>
      <c r="D34" s="2"/>
      <c r="E34" s="2"/>
      <c r="F34" s="2"/>
      <c r="G34" s="2"/>
      <c r="H34" s="2"/>
      <c r="I34" s="2" t="s">
        <v>180</v>
      </c>
      <c r="J34" s="2" t="s">
        <v>234</v>
      </c>
      <c r="K34" s="3">
        <v>0</v>
      </c>
      <c r="L34" s="2"/>
    </row>
    <row r="35" spans="1:12">
      <c r="A35" s="2" t="s">
        <v>244</v>
      </c>
      <c r="B35" s="2" t="s">
        <v>245</v>
      </c>
      <c r="C35" s="2" t="s">
        <v>297</v>
      </c>
      <c r="D35" s="2"/>
      <c r="E35" s="2"/>
      <c r="F35" s="2"/>
      <c r="G35" s="2"/>
      <c r="H35" s="2"/>
      <c r="I35" s="2" t="s">
        <v>180</v>
      </c>
      <c r="J35" s="2" t="s">
        <v>234</v>
      </c>
      <c r="K35" s="3">
        <v>0</v>
      </c>
      <c r="L35" s="2"/>
    </row>
    <row r="36" spans="1:12">
      <c r="A36" s="2" t="s">
        <v>246</v>
      </c>
      <c r="B36" s="2" t="s">
        <v>245</v>
      </c>
      <c r="C36" s="2" t="s">
        <v>298</v>
      </c>
      <c r="D36" s="2"/>
      <c r="E36" s="2"/>
      <c r="F36" s="2"/>
      <c r="G36" s="2"/>
      <c r="H36" s="2"/>
      <c r="I36" s="2" t="s">
        <v>180</v>
      </c>
      <c r="J36" s="2" t="s">
        <v>234</v>
      </c>
      <c r="K36" s="3">
        <v>0</v>
      </c>
      <c r="L36" s="2"/>
    </row>
    <row r="37" spans="1:12">
      <c r="A37" s="2" t="s">
        <v>247</v>
      </c>
      <c r="B37" s="2" t="s">
        <v>248</v>
      </c>
      <c r="C37" s="2" t="s">
        <v>299</v>
      </c>
      <c r="D37" s="2"/>
      <c r="E37" s="2"/>
      <c r="F37" s="2"/>
      <c r="G37" s="2"/>
      <c r="H37" s="2"/>
      <c r="I37" s="2" t="s">
        <v>180</v>
      </c>
      <c r="J37" s="2" t="s">
        <v>234</v>
      </c>
      <c r="K37" s="3">
        <v>0</v>
      </c>
      <c r="L3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2"/>
  <sheetViews>
    <sheetView workbookViewId="0">
      <pane ySplit="1" topLeftCell="A2" activePane="bottomLeft" state="frozen"/>
      <selection pane="bottomLeft"/>
    </sheetView>
  </sheetViews>
  <sheetFormatPr defaultRowHeight="15"/>
  <cols>
    <col min="1" max="1" width="32.7109375" customWidth="1"/>
    <col min="2" max="2" width="18.7109375" customWidth="1"/>
    <col min="3" max="3" width="24.7109375" customWidth="1"/>
    <col min="4" max="4" width="34.7109375" customWidth="1"/>
    <col min="5" max="6" width="12.7109375" customWidth="1"/>
    <col min="7" max="7" width="14.7109375" customWidth="1"/>
    <col min="8" max="8" width="12.7109375" customWidth="1"/>
    <col min="9" max="9" width="64.7109375" customWidth="1"/>
  </cols>
  <sheetData>
    <row r="1" spans="1:9">
      <c r="A1" s="4" t="s">
        <v>1</v>
      </c>
      <c r="B1" s="4" t="s">
        <v>118</v>
      </c>
      <c r="C1" s="4" t="s">
        <v>160</v>
      </c>
      <c r="D1" s="4" t="s">
        <v>165</v>
      </c>
      <c r="E1" s="4" t="s">
        <v>166</v>
      </c>
      <c r="F1" s="4" t="s">
        <v>167</v>
      </c>
      <c r="G1" s="4" t="s">
        <v>300</v>
      </c>
      <c r="H1" s="4" t="s">
        <v>170</v>
      </c>
      <c r="I1" s="4" t="s">
        <v>169</v>
      </c>
    </row>
    <row r="2" spans="1:9">
      <c r="A2" s="2" t="s">
        <v>301</v>
      </c>
      <c r="B2" s="2" t="s">
        <v>27</v>
      </c>
      <c r="C2" s="2"/>
      <c r="D2" s="2"/>
      <c r="E2" s="3">
        <v>0</v>
      </c>
      <c r="F2" s="3">
        <v>0</v>
      </c>
      <c r="G2" s="2" t="s">
        <v>302</v>
      </c>
      <c r="H2" s="2"/>
      <c r="I2" s="2" t="s">
        <v>303</v>
      </c>
    </row>
    <row r="3" spans="1:9">
      <c r="A3" s="2" t="s">
        <v>304</v>
      </c>
      <c r="B3" s="2" t="s">
        <v>27</v>
      </c>
      <c r="C3" s="2"/>
      <c r="D3" s="2"/>
      <c r="E3" s="3">
        <v>0</v>
      </c>
      <c r="F3" s="3">
        <v>0</v>
      </c>
      <c r="G3" s="2" t="s">
        <v>305</v>
      </c>
      <c r="H3" s="2"/>
      <c r="I3" s="2"/>
    </row>
    <row r="4" spans="1:9">
      <c r="A4" s="2" t="s">
        <v>306</v>
      </c>
      <c r="B4" s="2" t="s">
        <v>27</v>
      </c>
      <c r="C4" s="2"/>
      <c r="D4" s="2"/>
      <c r="E4" s="3">
        <v>0</v>
      </c>
      <c r="F4" s="3">
        <v>0</v>
      </c>
      <c r="G4" s="2" t="s">
        <v>305</v>
      </c>
      <c r="H4" s="2"/>
      <c r="I4" s="2"/>
    </row>
    <row r="5" spans="1:9">
      <c r="A5" s="2" t="s">
        <v>266</v>
      </c>
      <c r="B5" s="2" t="s">
        <v>180</v>
      </c>
      <c r="C5" s="2" t="s">
        <v>267</v>
      </c>
      <c r="D5" s="2"/>
      <c r="E5" s="3">
        <v>0</v>
      </c>
      <c r="F5" s="3">
        <v>0</v>
      </c>
      <c r="G5" s="2" t="s">
        <v>305</v>
      </c>
      <c r="H5" s="2"/>
      <c r="I5" s="2" t="s">
        <v>269</v>
      </c>
    </row>
    <row r="6" spans="1:9">
      <c r="A6" s="2" t="s">
        <v>307</v>
      </c>
      <c r="B6" s="2" t="s">
        <v>27</v>
      </c>
      <c r="C6" s="2"/>
      <c r="D6" s="2"/>
      <c r="E6" s="3">
        <v>0</v>
      </c>
      <c r="F6" s="3">
        <v>0</v>
      </c>
      <c r="G6" s="2" t="s">
        <v>305</v>
      </c>
      <c r="H6" s="2"/>
      <c r="I6" s="2"/>
    </row>
    <row r="7" spans="1:9">
      <c r="A7" s="2" t="s">
        <v>308</v>
      </c>
      <c r="B7" s="2" t="s">
        <v>27</v>
      </c>
      <c r="C7" s="2"/>
      <c r="D7" s="2"/>
      <c r="E7" s="3">
        <v>0</v>
      </c>
      <c r="F7" s="3">
        <v>0</v>
      </c>
      <c r="G7" s="2" t="s">
        <v>305</v>
      </c>
      <c r="H7" s="2"/>
      <c r="I7" s="2"/>
    </row>
    <row r="8" spans="1:9">
      <c r="A8" s="2" t="s">
        <v>309</v>
      </c>
      <c r="B8" s="2" t="s">
        <v>27</v>
      </c>
      <c r="C8" s="2"/>
      <c r="D8" s="2"/>
      <c r="E8" s="3">
        <v>0</v>
      </c>
      <c r="F8" s="3">
        <v>0</v>
      </c>
      <c r="G8" s="2" t="s">
        <v>305</v>
      </c>
      <c r="H8" s="2"/>
      <c r="I8" s="2"/>
    </row>
    <row r="9" spans="1:9">
      <c r="A9" s="2" t="s">
        <v>310</v>
      </c>
      <c r="B9" s="2" t="s">
        <v>27</v>
      </c>
      <c r="C9" s="2"/>
      <c r="D9" s="2"/>
      <c r="E9" s="3">
        <v>0</v>
      </c>
      <c r="F9" s="3">
        <v>0</v>
      </c>
      <c r="G9" s="2" t="s">
        <v>184</v>
      </c>
      <c r="H9" s="2"/>
      <c r="I9" s="2"/>
    </row>
    <row r="10" spans="1:9">
      <c r="A10" s="2" t="s">
        <v>311</v>
      </c>
      <c r="B10" s="2" t="s">
        <v>27</v>
      </c>
      <c r="C10" s="2"/>
      <c r="D10" s="2"/>
      <c r="E10" s="3">
        <v>0</v>
      </c>
      <c r="F10" s="3">
        <v>0</v>
      </c>
      <c r="G10" s="2" t="s">
        <v>199</v>
      </c>
      <c r="H10" s="2"/>
      <c r="I10" s="2" t="s">
        <v>312</v>
      </c>
    </row>
    <row r="11" spans="1:9">
      <c r="A11" s="2" t="s">
        <v>313</v>
      </c>
      <c r="B11" s="2" t="s">
        <v>27</v>
      </c>
      <c r="C11" s="2"/>
      <c r="D11" s="2"/>
      <c r="E11" s="3">
        <v>0</v>
      </c>
      <c r="F11" s="3">
        <v>0</v>
      </c>
      <c r="G11" s="2" t="s">
        <v>184</v>
      </c>
      <c r="H11" s="2"/>
      <c r="I11" s="2"/>
    </row>
    <row r="12" spans="1:9">
      <c r="A12" s="2" t="s">
        <v>314</v>
      </c>
      <c r="B12" s="2" t="s">
        <v>27</v>
      </c>
      <c r="C12" s="2"/>
      <c r="D12" s="2"/>
      <c r="E12" s="3">
        <v>0</v>
      </c>
      <c r="F12" s="3">
        <v>0</v>
      </c>
      <c r="G12" s="2" t="s">
        <v>190</v>
      </c>
      <c r="H12" s="2"/>
      <c r="I12" s="2"/>
    </row>
    <row r="13" spans="1:9">
      <c r="A13" s="2" t="s">
        <v>315</v>
      </c>
      <c r="B13" s="2" t="s">
        <v>27</v>
      </c>
      <c r="C13" s="2"/>
      <c r="D13" s="2"/>
      <c r="E13" s="3">
        <v>0</v>
      </c>
      <c r="F13" s="3">
        <v>0</v>
      </c>
      <c r="G13" s="2" t="s">
        <v>178</v>
      </c>
      <c r="H13" s="2"/>
      <c r="I13" s="2"/>
    </row>
    <row r="14" spans="1:9">
      <c r="A14" s="2" t="s">
        <v>316</v>
      </c>
      <c r="B14" s="2" t="s">
        <v>27</v>
      </c>
      <c r="C14" s="2"/>
      <c r="D14" s="2"/>
      <c r="E14" s="3">
        <v>0</v>
      </c>
      <c r="F14" s="3">
        <v>0</v>
      </c>
      <c r="G14" s="2" t="s">
        <v>302</v>
      </c>
      <c r="H14" s="2"/>
      <c r="I14" s="2" t="s">
        <v>303</v>
      </c>
    </row>
    <row r="15" spans="1:9">
      <c r="A15" s="2" t="s">
        <v>317</v>
      </c>
      <c r="B15" s="2" t="s">
        <v>27</v>
      </c>
      <c r="C15" s="2"/>
      <c r="D15" s="2"/>
      <c r="E15" s="3">
        <v>0</v>
      </c>
      <c r="F15" s="3">
        <v>0</v>
      </c>
      <c r="G15" s="2" t="s">
        <v>184</v>
      </c>
      <c r="H15" s="2"/>
      <c r="I15" s="2"/>
    </row>
    <row r="16" spans="1:9">
      <c r="A16" s="2" t="s">
        <v>318</v>
      </c>
      <c r="B16" s="2" t="s">
        <v>27</v>
      </c>
      <c r="C16" s="2"/>
      <c r="D16" s="2"/>
      <c r="E16" s="3">
        <v>0</v>
      </c>
      <c r="F16" s="3">
        <v>0</v>
      </c>
      <c r="G16" s="2" t="s">
        <v>184</v>
      </c>
      <c r="H16" s="2"/>
      <c r="I16" s="2"/>
    </row>
    <row r="17" spans="1:9">
      <c r="A17" s="2" t="s">
        <v>319</v>
      </c>
      <c r="B17" s="2" t="s">
        <v>27</v>
      </c>
      <c r="C17" s="2"/>
      <c r="D17" s="2"/>
      <c r="E17" s="3">
        <v>0</v>
      </c>
      <c r="F17" s="3">
        <v>0</v>
      </c>
      <c r="G17" s="2" t="s">
        <v>190</v>
      </c>
      <c r="H17" s="2"/>
      <c r="I17" s="2"/>
    </row>
    <row r="18" spans="1:9">
      <c r="A18" s="2" t="s">
        <v>320</v>
      </c>
      <c r="B18" s="2" t="s">
        <v>27</v>
      </c>
      <c r="C18" s="2"/>
      <c r="D18" s="2"/>
      <c r="E18" s="3">
        <v>0</v>
      </c>
      <c r="F18" s="3">
        <v>0</v>
      </c>
      <c r="G18" s="2" t="s">
        <v>302</v>
      </c>
      <c r="H18" s="2"/>
      <c r="I18" s="2" t="s">
        <v>303</v>
      </c>
    </row>
    <row r="19" spans="1:9">
      <c r="A19" s="2" t="s">
        <v>321</v>
      </c>
      <c r="B19" s="2" t="s">
        <v>27</v>
      </c>
      <c r="C19" s="2"/>
      <c r="D19" s="2"/>
      <c r="E19" s="3">
        <v>0</v>
      </c>
      <c r="F19" s="3">
        <v>0</v>
      </c>
      <c r="G19" s="2" t="s">
        <v>302</v>
      </c>
      <c r="H19" s="2"/>
      <c r="I19" s="2" t="s">
        <v>303</v>
      </c>
    </row>
    <row r="20" spans="1:9">
      <c r="A20" s="2" t="s">
        <v>322</v>
      </c>
      <c r="B20" s="2" t="s">
        <v>27</v>
      </c>
      <c r="C20" s="2"/>
      <c r="D20" s="2"/>
      <c r="E20" s="3">
        <v>0</v>
      </c>
      <c r="F20" s="3">
        <v>0</v>
      </c>
      <c r="G20" s="2" t="s">
        <v>302</v>
      </c>
      <c r="H20" s="2"/>
      <c r="I20" s="2" t="s">
        <v>303</v>
      </c>
    </row>
    <row r="21" spans="1:9">
      <c r="A21" s="2" t="s">
        <v>323</v>
      </c>
      <c r="B21" s="2" t="s">
        <v>27</v>
      </c>
      <c r="C21" s="2"/>
      <c r="D21" s="2"/>
      <c r="E21" s="3">
        <v>0</v>
      </c>
      <c r="F21" s="3">
        <v>0</v>
      </c>
      <c r="G21" s="2" t="s">
        <v>324</v>
      </c>
      <c r="H21" s="2"/>
      <c r="I21" s="2" t="s">
        <v>325</v>
      </c>
    </row>
    <row r="22" spans="1:9">
      <c r="A22" s="2" t="s">
        <v>326</v>
      </c>
      <c r="B22" s="2" t="s">
        <v>27</v>
      </c>
      <c r="C22" s="2"/>
      <c r="D22" s="2"/>
      <c r="E22" s="3">
        <v>0</v>
      </c>
      <c r="F22" s="3">
        <v>0</v>
      </c>
      <c r="G22" s="2" t="s">
        <v>302</v>
      </c>
      <c r="H22" s="2"/>
      <c r="I22" s="2" t="s">
        <v>303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1"/>
  <sheetViews>
    <sheetView workbookViewId="0">
      <pane ySplit="1" topLeftCell="A2" activePane="bottomLeft" state="frozen"/>
      <selection pane="bottomLeft"/>
    </sheetView>
  </sheetViews>
  <sheetFormatPr defaultRowHeight="15"/>
  <cols>
    <col min="1" max="1" width="32.7109375" customWidth="1"/>
    <col min="2" max="2" width="62.7109375" customWidth="1"/>
    <col min="3" max="3" width="50.7109375" customWidth="1"/>
    <col min="4" max="4" width="14.7109375" customWidth="1"/>
    <col min="5" max="5" width="34.7109375" customWidth="1"/>
    <col min="6" max="6" width="58.7109375" customWidth="1"/>
  </cols>
  <sheetData>
    <row r="1" spans="1:6">
      <c r="A1" s="1" t="s">
        <v>1</v>
      </c>
      <c r="B1" s="1" t="s">
        <v>5</v>
      </c>
      <c r="C1" s="1" t="s">
        <v>12</v>
      </c>
      <c r="D1" s="1" t="s">
        <v>327</v>
      </c>
      <c r="E1" s="1" t="s">
        <v>328</v>
      </c>
      <c r="F1" s="1" t="s">
        <v>329</v>
      </c>
    </row>
    <row r="2" spans="1:6">
      <c r="A2" s="2" t="s">
        <v>15</v>
      </c>
      <c r="B2" s="2" t="s">
        <v>19</v>
      </c>
      <c r="C2" s="2" t="s">
        <v>25</v>
      </c>
      <c r="D2" s="2" t="s">
        <v>26</v>
      </c>
      <c r="E2" s="2" t="s">
        <v>20</v>
      </c>
      <c r="F2" s="2" t="s">
        <v>330</v>
      </c>
    </row>
    <row r="3" spans="1:6">
      <c r="A3" s="2" t="s">
        <v>28</v>
      </c>
      <c r="B3" s="2" t="s">
        <v>31</v>
      </c>
      <c r="C3" s="2" t="s">
        <v>37</v>
      </c>
      <c r="D3" s="2" t="s">
        <v>26</v>
      </c>
      <c r="E3" s="2" t="s">
        <v>32</v>
      </c>
      <c r="F3" s="2" t="s">
        <v>330</v>
      </c>
    </row>
    <row r="4" spans="1:6">
      <c r="A4" s="2" t="s">
        <v>38</v>
      </c>
      <c r="B4" s="2" t="s">
        <v>41</v>
      </c>
      <c r="C4" s="2" t="s">
        <v>47</v>
      </c>
      <c r="D4" s="2" t="s">
        <v>26</v>
      </c>
      <c r="E4" s="2" t="s">
        <v>42</v>
      </c>
      <c r="F4" s="2" t="s">
        <v>330</v>
      </c>
    </row>
    <row r="5" spans="1:6">
      <c r="A5" s="2" t="s">
        <v>48</v>
      </c>
      <c r="B5" s="2" t="s">
        <v>51</v>
      </c>
      <c r="C5" s="2" t="s">
        <v>57</v>
      </c>
      <c r="D5" s="2" t="s">
        <v>26</v>
      </c>
      <c r="E5" s="2" t="s">
        <v>52</v>
      </c>
      <c r="F5" s="2" t="s">
        <v>330</v>
      </c>
    </row>
    <row r="6" spans="1:6">
      <c r="A6" s="2" t="s">
        <v>58</v>
      </c>
      <c r="B6" s="2" t="s">
        <v>61</v>
      </c>
      <c r="C6" s="2" t="s">
        <v>67</v>
      </c>
      <c r="D6" s="2" t="s">
        <v>26</v>
      </c>
      <c r="E6" s="2" t="s">
        <v>62</v>
      </c>
      <c r="F6" s="2" t="s">
        <v>330</v>
      </c>
    </row>
    <row r="7" spans="1:6">
      <c r="A7" s="2" t="s">
        <v>68</v>
      </c>
      <c r="B7" s="2" t="s">
        <v>71</v>
      </c>
      <c r="C7" s="2" t="s">
        <v>77</v>
      </c>
      <c r="D7" s="2" t="s">
        <v>26</v>
      </c>
      <c r="E7" s="2" t="s">
        <v>72</v>
      </c>
      <c r="F7" s="2" t="s">
        <v>330</v>
      </c>
    </row>
    <row r="8" spans="1:6">
      <c r="A8" s="2" t="s">
        <v>78</v>
      </c>
      <c r="B8" s="2" t="s">
        <v>81</v>
      </c>
      <c r="C8" s="2" t="s">
        <v>87</v>
      </c>
      <c r="D8" s="2" t="s">
        <v>26</v>
      </c>
      <c r="E8" s="2" t="s">
        <v>82</v>
      </c>
      <c r="F8" s="2" t="s">
        <v>330</v>
      </c>
    </row>
    <row r="9" spans="1:6">
      <c r="A9" s="2" t="s">
        <v>88</v>
      </c>
      <c r="B9" s="2" t="s">
        <v>90</v>
      </c>
      <c r="C9" s="2" t="s">
        <v>96</v>
      </c>
      <c r="D9" s="2" t="s">
        <v>26</v>
      </c>
      <c r="E9" s="2" t="s">
        <v>91</v>
      </c>
      <c r="F9" s="2" t="s">
        <v>330</v>
      </c>
    </row>
    <row r="10" spans="1:6">
      <c r="A10" s="2" t="s">
        <v>97</v>
      </c>
      <c r="B10" s="2" t="s">
        <v>100</v>
      </c>
      <c r="C10" s="2" t="s">
        <v>106</v>
      </c>
      <c r="D10" s="2" t="s">
        <v>26</v>
      </c>
      <c r="E10" s="2" t="s">
        <v>101</v>
      </c>
      <c r="F10" s="2" t="s">
        <v>330</v>
      </c>
    </row>
    <row r="11" spans="1:6">
      <c r="A11" s="2" t="s">
        <v>107</v>
      </c>
      <c r="B11" s="2" t="s">
        <v>110</v>
      </c>
      <c r="C11" s="2" t="s">
        <v>116</v>
      </c>
      <c r="D11" s="2" t="s">
        <v>26</v>
      </c>
      <c r="E11" s="2" t="s">
        <v>111</v>
      </c>
      <c r="F11" s="2" t="s">
        <v>330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9"/>
  <sheetViews>
    <sheetView workbookViewId="0"/>
  </sheetViews>
  <sheetFormatPr defaultRowHeight="15"/>
  <cols>
    <col min="1" max="1" width="22.7109375" customWidth="1"/>
    <col min="2" max="2" width="14.7109375" customWidth="1"/>
    <col min="3" max="3" width="4.7109375" customWidth="1"/>
    <col min="4" max="4" width="24.7109375" customWidth="1"/>
    <col min="5" max="5" width="16.7109375" customWidth="1"/>
    <col min="6" max="6" width="48.7109375" customWidth="1"/>
  </cols>
  <sheetData>
    <row r="1" spans="1:6" ht="28" customHeight="1">
      <c r="A1" s="5" t="s">
        <v>331</v>
      </c>
      <c r="B1" s="5"/>
      <c r="C1" s="5"/>
      <c r="D1" s="5"/>
      <c r="E1" s="5"/>
      <c r="F1" s="5"/>
    </row>
    <row r="3" spans="1:6">
      <c r="A3" s="1" t="s">
        <v>332</v>
      </c>
      <c r="B3" s="1" t="s">
        <v>333</v>
      </c>
      <c r="C3" s="2"/>
      <c r="D3" s="1" t="s">
        <v>334</v>
      </c>
      <c r="E3" s="1" t="s">
        <v>333</v>
      </c>
      <c r="F3" s="1" t="s">
        <v>335</v>
      </c>
    </row>
    <row r="4" spans="1:6">
      <c r="A4" s="2" t="s">
        <v>27</v>
      </c>
      <c r="B4" s="2">
        <f>COUNTIF(Pipeline!J:J,"Contact Ready")</f>
        <v>0</v>
      </c>
      <c r="D4" s="2" t="s">
        <v>339</v>
      </c>
      <c r="E4" s="3">
        <f>SUM(Pipeline!R:R)</f>
        <v>0</v>
      </c>
      <c r="F4" s="2" t="s">
        <v>340</v>
      </c>
    </row>
    <row r="5" spans="1:6">
      <c r="A5" s="2" t="s">
        <v>180</v>
      </c>
      <c r="B5" s="2">
        <f>COUNTIF(Pipeline!J:J,"Contacted")</f>
        <v>0</v>
      </c>
      <c r="D5" s="2" t="s">
        <v>341</v>
      </c>
      <c r="E5" s="3">
        <f>SUM(Pipeline!K:K)</f>
        <v>0</v>
      </c>
      <c r="F5" s="2" t="s">
        <v>342</v>
      </c>
    </row>
    <row r="6" spans="1:6">
      <c r="A6" s="2" t="s">
        <v>336</v>
      </c>
      <c r="B6" s="2">
        <f>COUNTIF(Pipeline!J:J,"Replied")</f>
        <v>0</v>
      </c>
      <c r="D6" s="2" t="s">
        <v>343</v>
      </c>
      <c r="E6" s="3">
        <f>SUM(Pipeline!L:L)</f>
        <v>0</v>
      </c>
      <c r="F6" s="2" t="s">
        <v>344</v>
      </c>
    </row>
    <row r="7" spans="1:6">
      <c r="A7" s="2" t="s">
        <v>337</v>
      </c>
      <c r="B7" s="2">
        <f>COUNTIF(Pipeline!J:J,"Negotiating")</f>
        <v>0</v>
      </c>
      <c r="D7" s="2" t="s">
        <v>345</v>
      </c>
      <c r="E7" s="6">
        <f>IFERROR(COUNTIF(Pipeline!J:J,"Replied")/COUNTIF(Pipeline!D:D,"&lt;&gt;"),0)</f>
        <v>0</v>
      </c>
      <c r="F7" s="2" t="s">
        <v>346</v>
      </c>
    </row>
    <row r="8" spans="1:6">
      <c r="A8" s="2" t="s">
        <v>338</v>
      </c>
      <c r="B8" s="2">
        <f>COUNTIF(Pipeline!J:J,"Won/Paid")</f>
        <v>0</v>
      </c>
      <c r="D8" s="2" t="s">
        <v>347</v>
      </c>
      <c r="E8" s="6">
        <f>IFERROR(COUNTIF(Pipeline!J:J,"Won/Paid")/COUNTIF(Pipeline!D:D,"&lt;&gt;"),0)</f>
        <v>0</v>
      </c>
      <c r="F8" s="2" t="s">
        <v>348</v>
      </c>
    </row>
    <row r="9" spans="1:6">
      <c r="A9" s="2" t="s">
        <v>168</v>
      </c>
      <c r="B9" s="2">
        <f>COUNTIF(Pipeline!J:J,"Fulfilled")</f>
        <v>0</v>
      </c>
    </row>
  </sheetData>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2"/>
  <sheetViews>
    <sheetView workbookViewId="0"/>
  </sheetViews>
  <sheetFormatPr defaultRowHeight="15"/>
  <cols>
    <col min="1" max="1" width="28.7109375" customWidth="1"/>
    <col min="2" max="2" width="100.7109375" customWidth="1"/>
  </cols>
  <sheetData>
    <row r="1" spans="1:2">
      <c r="A1" s="1" t="s">
        <v>349</v>
      </c>
      <c r="B1" s="1" t="s">
        <v>350</v>
      </c>
    </row>
    <row r="2" spans="1:2">
      <c r="A2" s="2" t="s">
        <v>351</v>
      </c>
      <c r="B2" s="2" t="s">
        <v>352</v>
      </c>
    </row>
    <row r="3" spans="1:2">
      <c r="A3" s="2" t="s">
        <v>353</v>
      </c>
      <c r="B3" s="2" t="s">
        <v>354</v>
      </c>
    </row>
    <row r="4" spans="1:2">
      <c r="A4" s="2" t="s">
        <v>355</v>
      </c>
      <c r="B4" s="2" t="s">
        <v>356</v>
      </c>
    </row>
    <row r="5" spans="1:2">
      <c r="A5" s="2" t="s">
        <v>357</v>
      </c>
      <c r="B5" s="2" t="s">
        <v>358</v>
      </c>
    </row>
    <row r="6" spans="1:2">
      <c r="A6" s="2" t="s">
        <v>359</v>
      </c>
      <c r="B6" s="2" t="s">
        <v>360</v>
      </c>
    </row>
    <row r="7" spans="1:2">
      <c r="A7" s="2" t="s">
        <v>361</v>
      </c>
      <c r="B7" s="2" t="s">
        <v>362</v>
      </c>
    </row>
    <row r="8" spans="1:2">
      <c r="A8" s="2" t="s">
        <v>363</v>
      </c>
      <c r="B8" s="2" t="s">
        <v>364</v>
      </c>
    </row>
    <row r="9" spans="1:2">
      <c r="A9" s="2" t="s">
        <v>365</v>
      </c>
      <c r="B9" s="2" t="s">
        <v>366</v>
      </c>
    </row>
    <row r="10" spans="1:2">
      <c r="A10" s="2" t="s">
        <v>175</v>
      </c>
      <c r="B10" s="2" t="s">
        <v>367</v>
      </c>
    </row>
    <row r="11" spans="1:2">
      <c r="A11" s="2" t="s">
        <v>368</v>
      </c>
      <c r="B11" s="2" t="s">
        <v>369</v>
      </c>
    </row>
    <row r="12" spans="1:2">
      <c r="A12" s="2" t="s">
        <v>370</v>
      </c>
      <c r="B12" s="2" t="s">
        <v>371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
  <sheetViews>
    <sheetView workbookViewId="0"/>
  </sheetViews>
  <sheetFormatPr defaultRowHeight="15"/>
  <cols>
    <col min="1" max="4" width="20.7109375" customWidth="1"/>
    <col min="5" max="5" width="90.7109375" customWidth="1"/>
  </cols>
  <sheetData>
    <row r="1" spans="1:5">
      <c r="A1" s="1" t="s">
        <v>372</v>
      </c>
      <c r="B1" s="1" t="s">
        <v>373</v>
      </c>
      <c r="C1" s="1" t="s">
        <v>374</v>
      </c>
      <c r="D1" s="1" t="s">
        <v>375</v>
      </c>
      <c r="E1" s="1" t="s">
        <v>376</v>
      </c>
    </row>
    <row r="2" spans="1:5">
      <c r="A2" s="2" t="s">
        <v>26</v>
      </c>
      <c r="B2" s="2">
        <v>10</v>
      </c>
      <c r="C2" s="2">
        <v>36</v>
      </c>
      <c r="D2" s="2">
        <v>21</v>
      </c>
      <c r="E2" s="2"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 Lead Queue</vt:lpstr>
      <vt:lpstr>Scripts</vt:lpstr>
      <vt:lpstr>Pipeline</vt:lpstr>
      <vt:lpstr>Actual Outreach History</vt:lpstr>
      <vt:lpstr>Archived Leads</vt:lpstr>
      <vt:lpstr>Sources</vt:lpstr>
      <vt:lpstr>Dashboard</vt:lpstr>
      <vt:lpstr>Update Rules</vt:lpstr>
      <vt:lpstr>Refresh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Same-Day Customer Growth Pack — Live CRM</dc:title>
  <dc:subject>Verified prospecting CRM</dc:subject>
  <dc:creator>Founder OS</dc:creator>
  <cp:lastModifiedBy>Founder OS</cp:lastModifiedBy>
  <dcterms:created xsi:type="dcterms:W3CDTF">2026-09-30T06:30:08Z</dcterms:created>
  <dcterms:modified xsi:type="dcterms:W3CDTF">2026-09-30T06:30:08Z</dcterms:modified>
</cp:coreProperties>
</file>