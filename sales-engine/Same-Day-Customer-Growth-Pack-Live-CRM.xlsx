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New Lead Queue" sheetId="1" r:id="rId1"/>
    <sheet name="Scripts" sheetId="2" r:id="rId2"/>
    <sheet name="Pipeline" sheetId="3" r:id="rId3"/>
    <sheet name="Actual Outreach History" sheetId="4" r:id="rId4"/>
    <sheet name="Archived Leads" sheetId="5" r:id="rId5"/>
    <sheet name="Sources" sheetId="6" r:id="rId6"/>
    <sheet name="Dashboard" sheetId="7" r:id="rId7"/>
    <sheet name="Update Rules" sheetId="8" r:id="rId8"/>
    <sheet name="Refresh Log" sheetId="9" r:id="rId9"/>
  </sheets>
  <definedNames>
    <definedName name="_xlnm._FilterDatabase" localSheetId="0" hidden="1">'New Lead Queue'!$A$1:$O$11</definedName>
    <definedName name="_xlnm._FilterDatabase" localSheetId="2" hidden="1">Pipeline!$A$1:$R$35</definedName>
  </definedNames>
  <calcPr calcId="124519" fullCalcOnLoad="1"/>
</workbook>
</file>

<file path=xl/sharedStrings.xml><?xml version="1.0" encoding="utf-8"?>
<sst xmlns="http://schemas.openxmlformats.org/spreadsheetml/2006/main" count="777" uniqueCount="347">
  <si>
    <t>Rank</t>
  </si>
  <si>
    <t>Business</t>
  </si>
  <si>
    <t>Category</t>
  </si>
  <si>
    <t>City</t>
  </si>
  <si>
    <t>Tier</t>
  </si>
  <si>
    <t>Verified Opportunity</t>
  </si>
  <si>
    <t>Phone</t>
  </si>
  <si>
    <t>Email</t>
  </si>
  <si>
    <t>Reachability</t>
  </si>
  <si>
    <t>Angle</t>
  </si>
  <si>
    <t>Subject</t>
  </si>
  <si>
    <t>Individualized Initial Pitch</t>
  </si>
  <si>
    <t>Source URL</t>
  </si>
  <si>
    <t>Verified</t>
  </si>
  <si>
    <t>Status</t>
  </si>
  <si>
    <t>Bay HVAC Masters</t>
  </si>
  <si>
    <t>HVAC / Heating / Cooling / System Installation</t>
  </si>
  <si>
    <t>San Jose / Bay Area, CA</t>
  </si>
  <si>
    <t>A</t>
  </si>
  <si>
    <t>Official contact page publishes service@bayhvacmasters.com, same-day appointments, free installation estimates, 24/7 emergency dispatch and a stated one-business-hour response to inquiries and email.</t>
  </si>
  <si>
    <t>service@bayhvacmasters.com</t>
  </si>
  <si>
    <t>Direct service email; stated one-business-hour response; same-day appointments; free installation estimates</t>
  </si>
  <si>
    <t>Turn the one-hour response and same-day availability into a repair-versus-replacement readiness campaign that helps homeowners identify symptoms, equipment age, comfort problems and installation goals before dispatch.</t>
  </si>
  <si>
    <t>One-hour HVAC response campaign for Bay HVAC Masters</t>
  </si>
  <si>
    <t>Hi — I reviewed Bay HVAC Masters’ current San Jose contact flow and noticed you already offer same-day appointments, free installation estimates and a stated one-business-hour email response. I’d turn that speed into a repair-versus-replacement readiness campaign that helps homeowners organize symptoms, equipment age, comfort issues and installation goals before dispatch. Same-Day Customer Growth Pack: $150 flat. Want two Bay HVAC Masters-specific examples first?</t>
  </si>
  <si>
    <t>https://www.bayhvacmasters.com/contact/</t>
  </si>
  <si>
    <t>2026-09-23</t>
  </si>
  <si>
    <t>Contact Ready</t>
  </si>
  <si>
    <t>JS Overhead Garage Door</t>
  </si>
  <si>
    <t>Garage Door Repair / Installation / Openers / Emergency Service</t>
  </si>
  <si>
    <t>Bay Area / Sacramento, CA</t>
  </si>
  <si>
    <t>Official contact page publishes info@jsogaragedoor.com, same-day service, free estimates and a stated response within one hour during business hours.</t>
  </si>
  <si>
    <t>info@jsogaragedoor.com</t>
  </si>
  <si>
    <t>Direct email; stated one-hour business-hours response; same-day service; free estimate</t>
  </si>
  <si>
    <t>Turn the one-hour response into a garage-door triage campaign that helps prospects identify door versus opener issues, safety symptoms, urgency and replacement-versus-repair needs before service.</t>
  </si>
  <si>
    <t>One-hour garage-door triage campaign for JS Overhead</t>
  </si>
  <si>
    <t>Hi — I reviewed JS Overhead Garage Door’s current contact flow and noticed you already offer same-day service, free estimates and a stated one-hour response during business hours. I’d turn that into a garage-door triage campaign that helps prospects identify door versus opener issues, safety symptoms, urgency and repair-versus-replacement needs before service. Same-Day Customer Growth Pack: $150 flat. Want two JS Overhead-specific examples first?</t>
  </si>
  <si>
    <t>https://www.jsogaragedoor.com/contact</t>
  </si>
  <si>
    <t>Elite Unit Group</t>
  </si>
  <si>
    <t>Apartment Turnovers / Property Maintenance / Multi-Service Renovation</t>
  </si>
  <si>
    <t>Bay Area / Sacramento / Central Valley, CA</t>
  </si>
  <si>
    <t>Official contact page was crawled today and publishes info@eliteunitgroup.com, free turnover quotes, responses within a few hours and 24–48 hour unit turns with one crew handling multiple services.</t>
  </si>
  <si>
    <t>info@eliteunitgroup.com</t>
  </si>
  <si>
    <t>Direct email; free quote; stated response within hours; 24–48 hour unit turns</t>
  </si>
  <si>
    <t>Turn the fast multi-service turnover model into a property-manager intake campaign that organizes unit condition, required trades, vacancy deadline, photos and scope before quoting.</t>
  </si>
  <si>
    <t>Fast unit-turn intake campaign for Elite Unit Group</t>
  </si>
  <si>
    <t>Hi — I reviewed Elite Unit Group’s current California turnover flow and noticed you already offer free quotes, responses within a few hours and 24–48 hour unit turns using one crew across multiple services. I’d turn that into a property-manager intake campaign that organizes unit condition, required trades, vacancy deadline, photos and scope before quoting. Same-Day Customer Growth Pack: $150 flat. Want two Elite Unit-specific examples first?</t>
  </si>
  <si>
    <t>https://eliteunitgroup.com/contact</t>
  </si>
  <si>
    <t>Pristine Construction LLC</t>
  </si>
  <si>
    <t>Design-Build / Kitchens / Bathrooms / ADUs / Whole-Home Remodeling</t>
  </si>
  <si>
    <t>Official site publishes office@pristineconstructionllc.com, free no-obligation consultations, a stated response within 24 hours and a design-build focus on kitchens, baths, ADUs and full-home remodels.</t>
  </si>
  <si>
    <t>office@pristineconstructionllc.com</t>
  </si>
  <si>
    <t>Direct office email; free consultation; stated 24-hour response; Saturday hours</t>
  </si>
  <si>
    <t>Turn the design-build consultation into a project-direction campaign that helps homeowners organize vision, timeline, goals, project type and site-visit readiness before the first call.</t>
  </si>
  <si>
    <t>24-hour design-build intake campaign for Pristine</t>
  </si>
  <si>
    <t>Hi — I reviewed Pristine Construction’s current San Jose consultation flow and noticed you already offer free consultations with a stated 24-hour response for kitchens, baths, ADUs and full-home remodels. I’d turn that into a project-direction campaign that helps homeowners organize vision, timeline, goals and site-visit readiness before the first call. Same-Day Customer Growth Pack: $150 flat. Want two Pristine-specific examples first?</t>
  </si>
  <si>
    <t>https://pristineconstructionllc.com/</t>
  </si>
  <si>
    <t>Maison Remodeling Group</t>
  </si>
  <si>
    <t>Kitchen / Bathroom / ADU / Additions / Whole-Home Remodeling</t>
  </si>
  <si>
    <t>Santa Clara / San Jose / Bay Area, CA</t>
  </si>
  <si>
    <t>Official contact page publishes office@maisonremodeling.com, free 30-minute consultations and a stated 24-hour response for kitchen, bathroom, ADU, addition, whole-home and outdoor remodeling inquiries.</t>
  </si>
  <si>
    <t>office@maisonremodeling.com</t>
  </si>
  <si>
    <t>Direct office email; free consultation; stated 24-hour response</t>
  </si>
  <si>
    <t>Turn the 30-minute consultation into a pre-call planning campaign that helps homeowners organize project type, priorities, budget questions, timeline and existing plans before speaking with the team.</t>
  </si>
  <si>
    <t>30-minute consultation prep campaign for Maison Remodeling</t>
  </si>
  <si>
    <t>Hi — I reviewed Maison Remodeling Group’s current Santa Clara consultation flow and noticed you already offer free 30-minute consultations and state that written inquiries receive a response within 24 hours. I’d turn that into a pre-call planning campaign that helps homeowners organize project type, priorities, budget questions, timeline and existing plans before speaking with your team. Same-Day Customer Growth Pack: $150 flat. Want two Maison-specific examples first?</t>
  </si>
  <si>
    <t>https://maisonremodeling.com/contact</t>
  </si>
  <si>
    <t>Atlantis Remodeling</t>
  </si>
  <si>
    <t>Official contact page publishes contact@atlantis-remodeling.com, free no-obligation consultations, Monday-Saturday hours and a stated response within 24 hours for premium remodeling projects.</t>
  </si>
  <si>
    <t>contact@atlantis-remodeling.com</t>
  </si>
  <si>
    <t>Direct email; free consultation; stated 24-hour response; Monday-Saturday hours</t>
  </si>
  <si>
    <t>Turn the design-build consultation into a dream-project readiness campaign that helps prospects organize vision, project type, decision priorities and questions before the consultation.</t>
  </si>
  <si>
    <t>24-hour consultation campaign for Atlantis Remodeling</t>
  </si>
  <si>
    <t>Hi — I reviewed Atlantis Remodeling’s current San Jose contact flow and noticed you already offer free no-obligation consultations, Monday-Saturday availability and a stated 24-hour response. I’d turn that into a dream-project readiness campaign that helps prospects organize vision, project type, decision priorities and questions before the consultation. Same-Day Customer Growth Pack: $150 flat. Want two Atlantis-specific examples first?</t>
  </si>
  <si>
    <t>https://www.atlantis-remodeling.com/contact</t>
  </si>
  <si>
    <t>ValGreg Construction</t>
  </si>
  <si>
    <t>Residential Remodeling / Renovations / General Construction</t>
  </si>
  <si>
    <t>San Francisco / Bay Area, CA</t>
  </si>
  <si>
    <t>Official contact page publishes Valgregconstruction@gmail.com, free estimates and a stated 24-hour response for Bay Area residential remodeling, renovation and construction inquiries.</t>
  </si>
  <si>
    <t>Valgregconstruction@gmail.com</t>
  </si>
  <si>
    <t>Direct email; free estimate; stated 24-hour response</t>
  </si>
  <si>
    <t>Turn the free-estimate path into a remodel scope-preparation campaign that helps homeowners organize project type, existing conditions, priorities, timeline and photos before estimating.</t>
  </si>
  <si>
    <t>24-hour remodel estimate campaign for ValGreg Construction</t>
  </si>
  <si>
    <t>Hi — I reviewed ValGreg Construction’s current Bay Area estimate flow and noticed you already offer free estimates with a stated 24-hour response. I’d turn that into a remodel scope-preparation campaign that helps homeowners organize project type, existing conditions, priorities, timeline and useful photos before estimating. Same-Day Customer Growth Pack: $150 flat. Want two ValGreg-specific examples first?</t>
  </si>
  <si>
    <t>https://www.valgregconstruction.com/free-estimate</t>
  </si>
  <si>
    <t>Otto &amp; Sons Construction</t>
  </si>
  <si>
    <t>Residential Remodeling / Commercial Tenant Improvements / Construction</t>
  </si>
  <si>
    <t>Bay Area / Antioch, CA</t>
  </si>
  <si>
    <t>Official contact page publishes alani@ottoandsonsco.com, free no-obligation estimates, a typical 24-hour business-day response and Saturday hours for residential remodels and commercial work.</t>
  </si>
  <si>
    <t>alani@ottoandsonsco.com</t>
  </si>
  <si>
    <t>Direct named email; free estimate; typical 24-hour response; Saturday hours</t>
  </si>
  <si>
    <t>Turn the residential-and-commercial range into a project-routing campaign that helps prospects identify remodel, tenant-improvement, small-build or service-call needs and prepare useful scope details before quoting.</t>
  </si>
  <si>
    <t>24-hour project-routing campaign for Otto &amp; Sons</t>
  </si>
  <si>
    <t>Hi — I reviewed Otto &amp; Sons Construction’s current Bay Area quote flow and noticed you already offer free estimates, typically respond within 24 business hours and handle both residential remodels and commercial work. I’d turn that into a project-routing campaign that helps prospects identify remodel, tenant-improvement, small-build or service-call needs and prepare useful scope details before quoting. Same-Day Customer Growth Pack: $150 flat. Want two Otto &amp; Sons-specific examples first?</t>
  </si>
  <si>
    <t>https://www.ottoandsonsco.com/contact</t>
  </si>
  <si>
    <t>SBH Construction</t>
  </si>
  <si>
    <t>Foundation Repair / Residential Construction / Remodeling</t>
  </si>
  <si>
    <t>Walnut Creek / Bay Area, CA</t>
  </si>
  <si>
    <t>Official services page publishes info@sbhconstruction.com, free no-obligation consultations, detailed estimates and a stated one-business-day response, with permit applications and inspections handled for clients.</t>
  </si>
  <si>
    <t>info@sbhconstruction.com</t>
  </si>
  <si>
    <t>Direct email; free consultation; stated 24-hour response; Saturday hours</t>
  </si>
  <si>
    <t>Turn the consultation and permit-handling process into a foundation/project readiness campaign that helps homeowners organize symptoms, project goals, property context and permit questions before the site visit.</t>
  </si>
  <si>
    <t>Foundation project-readiness campaign for SBH Construction</t>
  </si>
  <si>
    <t>Hi — I reviewed SBH Construction’s current Bay Area service flow and noticed you already offer free consultations, detailed estimates, permit handling and a stated response within one business day. I’d turn that into a project-readiness campaign that helps homeowners organize symptoms, project goals, property context and permit questions before the site visit. Same-Day Customer Growth Pack: $150 flat. Want two SBH-specific examples first?</t>
  </si>
  <si>
    <t>https://sbhconstructioninc.com/services/</t>
  </si>
  <si>
    <t>Bay Area Fabrication &amp; Repair</t>
  </si>
  <si>
    <t>Welding / Metal Fabrication / Mobile Repair / Commercial &amp; Residential</t>
  </si>
  <si>
    <t>Bay Area, CA</t>
  </si>
  <si>
    <t>Official site publishes bayareafabrications@gmail.com, free estimates, Monday-Saturday hours and a stated 24-hour response across welding, structural fabrication, mobile repair and custom metalwork.</t>
  </si>
  <si>
    <t>bayareafabrications@gmail.com</t>
  </si>
  <si>
    <t>Direct email; free estimate; stated 24-hour response; Monday-Saturday hours</t>
  </si>
  <si>
    <t>Turn the broad fabrication menu into a job-scope selector that helps prospects identify mobile repair versus shop fabrication, material, dimensions, location and urgency before estimating.</t>
  </si>
  <si>
    <t>24-hour fabrication quote campaign for Bay Area Fabrication</t>
  </si>
  <si>
    <t>Hi — I reviewed Bay Area Fabrication &amp; Repair’s current service flow and noticed you offer free estimates, Monday-Saturday availability and a stated 24-hour response across welding, fabrication and mobile repair. I’d turn that into a job-scope selector that helps prospects identify mobile repair versus shop fabrication, material, dimensions, location and urgency before estimating. Same-Day Customer Growth Pack: $150 flat. Want two business-specific examples first?</t>
  </si>
  <si>
    <t>https://bayareafabrications.com/</t>
  </si>
  <si>
    <t>Script ID</t>
  </si>
  <si>
    <t>Stage</t>
  </si>
  <si>
    <t>When to Use</t>
  </si>
  <si>
    <t>Copy</t>
  </si>
  <si>
    <t>S01</t>
  </si>
  <si>
    <t>Initial framework</t>
  </si>
  <si>
    <t>First contact</t>
  </si>
  <si>
    <t>Subject: 2 ideas for [BUSINESS]’s [VERIFIED OPPORTUNITY]
Hi — I was researching [CATEGORY] businesses and noticed [ONE VERIFIED FACT].
I think there’s a specific customer-growth opportunity around: “[BUSINESS-SPECIFIC ANGLE]”
I can turn that into ready-to-use Google/social posts, customer follow-ups, genuine review-request copy, FAQs, one promotional email and a 30-day use calendar.
Same-Day Customer Growth Pack: $150 flat, no subscription.
I already drafted two [BUSINESS]-specific examples. Want me to send them?</t>
  </si>
  <si>
    <t>S02</t>
  </si>
  <si>
    <t>Follow-up 1</t>
  </si>
  <si>
    <t>1–2 business days after no reply</t>
  </si>
  <si>
    <t>Hi — following up on the idea I sent for [BUSINESS]. If the full package isn’t useful yet, I can send the two business-specific samples first so you can judge the quality before deciding. No obligation.</t>
  </si>
  <si>
    <t>S03</t>
  </si>
  <si>
    <t>Follow-up 2</t>
  </si>
  <si>
    <t>Final cold follow-up</t>
  </si>
  <si>
    <t>Last note from me — I’ll close the loop unless you’d like the two [BUSINESS]-specific examples. If you’d rather not receive future outreach, just reply “no thanks” and I’ll suppress the contact.</t>
  </si>
  <si>
    <t>S04</t>
  </si>
  <si>
    <t>Yes / send samples</t>
  </si>
  <si>
    <t>Prospect asks to see examples</t>
  </si>
  <si>
    <t>Absolutely — here are the two samples. If the direction fits, I can complete the full Same-Day Customer Growth Pack: customized campaign angle, Google/social posts, FAQs, customer/estimate follow-ups, genuine review-request copy, one promotional email, CTA variants and a 30-day use calendar. Starter pack: $150 flat, no subscription.</t>
  </si>
  <si>
    <t>S05</t>
  </si>
  <si>
    <t>Price</t>
  </si>
  <si>
    <t>Prospect asks price</t>
  </si>
  <si>
    <t>The starter pack is $150 flat with no subscription. It includes the customized campaign angle, ready-to-publish posts, customer/estimate follow-ups, genuine review-request copy, FAQs, one promotional email, CTA variants and a 30-day use calendar. I don’t guarantee a specific number of leads or revenue; the deliverable is the completed business-specific marketing and follow-up system.</t>
  </si>
  <si>
    <t>S06</t>
  </si>
  <si>
    <t>Not now</t>
  </si>
  <si>
    <t>Prospect defers</t>
  </si>
  <si>
    <t>No problem. I’ll leave it here and won’t keep following up. If [VERIFIED OPPORTUNITY] becomes a priority later, you can reply to this thread and I can pick it back up.</t>
  </si>
  <si>
    <t>S07</t>
  </si>
  <si>
    <t>Already have marketing</t>
  </si>
  <si>
    <t>Existing agency/provider objection</t>
  </si>
  <si>
    <t>Makes sense. I’m not trying to replace your agency or existing marketing. This is a small fixed-scope pack built around one current offer/service opportunity — useful as an extra campaign, follow-up sequence, or customer-education asset. If that’s not useful, no problem and I’ll close the loop.</t>
  </si>
  <si>
    <t>S08</t>
  </si>
  <si>
    <t>Guarantee?</t>
  </si>
  <si>
    <t>Prospect asks for guaranteed results</t>
  </si>
  <si>
    <t>No — I don’t guarantee leads, rankings, bookings or revenue. What I can guarantee is the agreed deliverable: a completed, customized pack based on your approved facts and offer, with no fabricated testimonials or performance claims.</t>
  </si>
  <si>
    <t>S09</t>
  </si>
  <si>
    <t>Close</t>
  </si>
  <si>
    <t>Prospect is ready to buy</t>
  </si>
  <si>
    <t>Great — I’ll send the short intake first so I use only your approved service details, contact information and offer terms. Once payment is confirmed, I’ll complete the agreed pack and send the finished copy in one handoff.</t>
  </si>
  <si>
    <t>Lead</t>
  </si>
  <si>
    <t>Priority</t>
  </si>
  <si>
    <t>Channel</t>
  </si>
  <si>
    <t>First Touch</t>
  </si>
  <si>
    <t>FU1 Due</t>
  </si>
  <si>
    <t>FU1 Sent</t>
  </si>
  <si>
    <t>FU2 Due</t>
  </si>
  <si>
    <t>FU2 Sent</t>
  </si>
  <si>
    <t>Reply</t>
  </si>
  <si>
    <t>Quoted $</t>
  </si>
  <si>
    <t>Paid $</t>
  </si>
  <si>
    <t>Fulfilled</t>
  </si>
  <si>
    <t>Next Action</t>
  </si>
  <si>
    <t>Opt Out</t>
  </si>
  <si>
    <t>Last Verified</t>
  </si>
  <si>
    <t>Source</t>
  </si>
  <si>
    <t>Offer Value $</t>
  </si>
  <si>
    <t>FloodDry Water Damage Restoration</t>
  </si>
  <si>
    <t>Follow-up</t>
  </si>
  <si>
    <t>email</t>
  </si>
  <si>
    <t>2026-09-05T22:50:24-07:00</t>
  </si>
  <si>
    <t>2026-09-08</t>
  </si>
  <si>
    <t>2026-09-08T16:45:47-07:00</t>
  </si>
  <si>
    <t>Contacted</t>
  </si>
  <si>
    <t>Two verified outbound emails, no inbound reply found through 2026-09-12. Do not send another cold touch now.</t>
  </si>
  <si>
    <t>Therma Tech</t>
  </si>
  <si>
    <t>2026-09-05T20:01:38-07:00</t>
  </si>
  <si>
    <t>2026-09-07</t>
  </si>
  <si>
    <t>2026-09-07T13:35:02-07:00</t>
  </si>
  <si>
    <t>2026-09-07T14:19:35-07:00</t>
  </si>
  <si>
    <t>Three verified outbound emails across two connected Gmail accounts; no inbound reply found through 2026-09-12. Stop cold follow-up unless they reply.</t>
  </si>
  <si>
    <t>Dansel Restoration</t>
  </si>
  <si>
    <t>2026-09-05T22:49:58-07:00</t>
  </si>
  <si>
    <t>2026-09-09</t>
  </si>
  <si>
    <t>One verified outbound email; no inbound reply found through 2026-09-12. One final respectful follow-up is permissible, then stop unless they reply.</t>
  </si>
  <si>
    <t>California First Roofing</t>
  </si>
  <si>
    <t>2026-09-05T22:39:21-07:00</t>
  </si>
  <si>
    <t>US Creative Restoration</t>
  </si>
  <si>
    <t>2026-09-05T22:53:01-07:00</t>
  </si>
  <si>
    <t>One verified outbound email; no reply found through 2026-09-12. Eligible for at most one respectful follow-up.</t>
  </si>
  <si>
    <t>WJM Builders</t>
  </si>
  <si>
    <t>2026-09-06T03:30:53-07:00</t>
  </si>
  <si>
    <t>2026-09-10</t>
  </si>
  <si>
    <t>Clean Roofing</t>
  </si>
  <si>
    <t>2026-09-06T03:42:04-07:00</t>
  </si>
  <si>
    <t>Solar Energy Consultants</t>
  </si>
  <si>
    <t>2026-09-06T03:25:44-07:00</t>
  </si>
  <si>
    <t>Mayer's Construction</t>
  </si>
  <si>
    <t>2026-09-06T03:31:58-07:00</t>
  </si>
  <si>
    <t>EVS Mechanical</t>
  </si>
  <si>
    <t>2026-09-06T03:32:27-07:00</t>
  </si>
  <si>
    <t>Dueling Trowels Concrete Solutions</t>
  </si>
  <si>
    <t>2026-09-05T22:39:44-07:00</t>
  </si>
  <si>
    <t>2026-09-06T03:20:39-07:00</t>
  </si>
  <si>
    <t>Two verified outbound emails; no reply found through 2026-09-12. Do not send another cold touch now.</t>
  </si>
  <si>
    <t>GBD Concrete</t>
  </si>
  <si>
    <t>2026-09-05T22:54:30-07:00</t>
  </si>
  <si>
    <t>John Molina Concrete</t>
  </si>
  <si>
    <t>2026-09-05T22:46:13-07:00</t>
  </si>
  <si>
    <t>Precision Concrete Inc</t>
  </si>
  <si>
    <t>2026-09-05T22:40:53-07:00</t>
  </si>
  <si>
    <t>One Day Complete Repipe</t>
  </si>
  <si>
    <t>2026-09-05T22:35:59-07:00</t>
  </si>
  <si>
    <t>HB Design &amp; Construction</t>
  </si>
  <si>
    <t>2026-09-18T16:24:00-07:00</t>
  </si>
  <si>
    <t>2026-09-21</t>
  </si>
  <si>
    <t>Wait for reply. If no reply, eligible for respectful S02 follow-up on/after 2026-09-21; stop sooner on decline or opt-out.</t>
  </si>
  <si>
    <t>QualiBuild LLC</t>
  </si>
  <si>
    <t>Redwood Roofing</t>
  </si>
  <si>
    <t>Premier Roofing &amp; Retro-Fit</t>
  </si>
  <si>
    <t>Make It Simple Construction, Inc.</t>
  </si>
  <si>
    <t>BLUECON</t>
  </si>
  <si>
    <t>Blues Bros</t>
  </si>
  <si>
    <t>Home Quality Remodeling</t>
  </si>
  <si>
    <t>Imperia Roofing &amp; Exteriors</t>
  </si>
  <si>
    <t>First Touch Evidence</t>
  </si>
  <si>
    <t>FU1 Evidence</t>
  </si>
  <si>
    <t>FU2 Evidence</t>
  </si>
  <si>
    <t>Gmail sent message 1a074aa18c4a15e5</t>
  </si>
  <si>
    <t>Gmail sent message 1a07d94dc355abc7</t>
  </si>
  <si>
    <t>Gmail sent message 1a07dbda8027b039</t>
  </si>
  <si>
    <t>Gmail sent message 1a07537695be159d</t>
  </si>
  <si>
    <t>Gmail sent message 1a0753a7d53e5a5c</t>
  </si>
  <si>
    <t>Gmail sent message 1a0753ad793984cf</t>
  </si>
  <si>
    <t>Gmail sent message 1a0763c06f9e9dc5</t>
  </si>
  <si>
    <t>Gmail sent message 1a0753be59b49989</t>
  </si>
  <si>
    <t>Gmail sent message 1a07540c8b9fd4bc</t>
  </si>
  <si>
    <t>Gmail sent message 1a075443349aa830</t>
  </si>
  <si>
    <t>Gmail sent message 1a075449a2403271</t>
  </si>
  <si>
    <t>Gmail sent message 1a08369d9f6b09c0</t>
  </si>
  <si>
    <t>Gmail sent message 1a0754701539a56d</t>
  </si>
  <si>
    <t>Gmail sent message 1a075485ca2a3fef</t>
  </si>
  <si>
    <t>Precision Heating &amp; Cooling</t>
  </si>
  <si>
    <t>2026-09-06T01:37:52-07:00</t>
  </si>
  <si>
    <t>Gmail sent message 1a075ddee6716e8a</t>
  </si>
  <si>
    <t>Historical send discovered during Sep 12 audit; no reply found in connected Gmail search.</t>
  </si>
  <si>
    <t>Gmail sent message 1a07640ae5a69379</t>
  </si>
  <si>
    <t>Gmail sent message 1a076456505c6304</t>
  </si>
  <si>
    <t>Gmail sent message 1a0764664a2b1202</t>
  </si>
  <si>
    <t>Gmail sent message 1a07646d6dbd3474</t>
  </si>
  <si>
    <t>Gmail sent message 1a0764fa024df1f4</t>
  </si>
  <si>
    <t>Gmail sent message 1a0b6d78c843ca6b</t>
  </si>
  <si>
    <t>Gmail sent message 1a0b6d7943740cae</t>
  </si>
  <si>
    <t>Gmail sent message 1a0b6d79a6cdefdb</t>
  </si>
  <si>
    <t>Gmail sent message 1a0b6d7a193869fd</t>
  </si>
  <si>
    <t>Gmail sent message 1a0b6d7a978557f8</t>
  </si>
  <si>
    <t>Gmail sent message 1a0b6d7afc5b1de0</t>
  </si>
  <si>
    <t>Gmail sent message 1a0b6d7b4e0a0a3f</t>
  </si>
  <si>
    <t>Gmail sent message 1a0b6d7bd8a5e4c7</t>
  </si>
  <si>
    <t>Gmail sent message 1a0b6d7c520f4297</t>
  </si>
  <si>
    <t>Silicon Valley Chimney Sweep</t>
  </si>
  <si>
    <t>Gmail sent message 1a0b6d7d1bb96f3a</t>
  </si>
  <si>
    <t>Delivery Failed</t>
  </si>
  <si>
    <t>Do not count as successfully contacted. Official site still publishes info@svchimneysweep.com, but Gmail returned a hard bounce. Reverify or use the official website inquiry route; do not resend to the bounced address.</t>
  </si>
  <si>
    <t>Archived</t>
  </si>
  <si>
    <t>Leader Restoration</t>
  </si>
  <si>
    <t>2026-09-12</t>
  </si>
  <si>
    <t>Rotated out of fresh queue 2026-09-12; no outreach found in connected Gmail checks.</t>
  </si>
  <si>
    <t>CostLess Heating &amp; Cooling</t>
  </si>
  <si>
    <t>2026-09-06</t>
  </si>
  <si>
    <t>Los Gatos Roofing</t>
  </si>
  <si>
    <t>Roofs By Reveille, Inc</t>
  </si>
  <si>
    <t>A1 Restoration</t>
  </si>
  <si>
    <t>911 Restoration of San Jose</t>
  </si>
  <si>
    <t>Any Hour Water and Fire</t>
  </si>
  <si>
    <t>IRBIS Air Plumbing Electrical</t>
  </si>
  <si>
    <t>Use official web/phone route; no direct email re-verified 2026-09-09.</t>
  </si>
  <si>
    <t>California Water and Fire</t>
  </si>
  <si>
    <t>Infinium Solar, Roofing and Electric</t>
  </si>
  <si>
    <t>Lifetime Roofing &amp; Renovation, Inc.</t>
  </si>
  <si>
    <t>ROOF EXPRESS</t>
  </si>
  <si>
    <t>South Bay Roofing CO</t>
  </si>
  <si>
    <t>Eastman Roofing &amp; Waterproofing, Inc.</t>
  </si>
  <si>
    <t>The Roofer Bros</t>
  </si>
  <si>
    <t>Roof By Tom</t>
  </si>
  <si>
    <t>FairPrice Heating &amp; Cooling</t>
  </si>
  <si>
    <t>Galaxy Heating &amp; Air Conditioning</t>
  </si>
  <si>
    <t>Air &amp; Plumbing Systems</t>
  </si>
  <si>
    <t>2026-09-11</t>
  </si>
  <si>
    <t>Archived from active Top 10 on 2026-09-11; no outreach recorded.</t>
  </si>
  <si>
    <t>Top Tier Roofing</t>
  </si>
  <si>
    <t>Verified Date</t>
  </si>
  <si>
    <t>Direct Contact</t>
  </si>
  <si>
    <t>Reverify Rule</t>
  </si>
  <si>
    <t>Reverify time-sensitive offers, hours, financing, ETA, response-time claims, and contact details before outreach.</t>
  </si>
  <si>
    <t>SAME-DAY CUSTOMER GROWTH PACK — LIVE PIPELINE</t>
  </si>
  <si>
    <t>Metric</t>
  </si>
  <si>
    <t>Value</t>
  </si>
  <si>
    <t>Commercial Metric</t>
  </si>
  <si>
    <t>Meaning</t>
  </si>
  <si>
    <t>Replied</t>
  </si>
  <si>
    <t>Negotiating</t>
  </si>
  <si>
    <t>Won/Paid</t>
  </si>
  <si>
    <t>Nominal Offer Value</t>
  </si>
  <si>
    <t>Potential at the standard package price; not booked revenue.</t>
  </si>
  <si>
    <t>Actual Quoted $</t>
  </si>
  <si>
    <t>Only real negotiated/quoted dollars.</t>
  </si>
  <si>
    <t>Paid Revenue</t>
  </si>
  <si>
    <t>Only actual payments.</t>
  </si>
  <si>
    <t>Response Rate</t>
  </si>
  <si>
    <t>Replies divided by records with a real first touch.</t>
  </si>
  <si>
    <t>Close Rate</t>
  </si>
  <si>
    <t>Wins divided by records with a real first touch.</t>
  </si>
  <si>
    <t>Rule</t>
  </si>
  <si>
    <t>Requirement</t>
  </si>
  <si>
    <t>Canonical lead feed</t>
  </si>
  <si>
    <t>sales-engine-app/data/leads.json</t>
  </si>
  <si>
    <t>Canonical pipeline history</t>
  </si>
  <si>
    <t>sales-engine/pipeline-history.json</t>
  </si>
  <si>
    <t>Canonical workbook</t>
  </si>
  <si>
    <t>sales-engine/Same-Day-Customer-Growth-Pack-Live-CRM.xlsx</t>
  </si>
  <si>
    <t>Fresh means fresh</t>
  </si>
  <si>
    <t>Before a prospect enters New Lead Queue, verify it and check connected Gmail history for prior contact.</t>
  </si>
  <si>
    <t>Evidence</t>
  </si>
  <si>
    <t>Every current lead requires a current source URL and dated evidence-based opportunity.</t>
  </si>
  <si>
    <t>Contacts</t>
  </si>
  <si>
    <t>Never invent email, phone, person, role, offer, or contact detail.</t>
  </si>
  <si>
    <t>Pipeline truth</t>
  </si>
  <si>
    <t>Never mark contact, reply, quote, payment, customer, revenue, or fulfillment unless it actually occurred.</t>
  </si>
  <si>
    <t>Offer value</t>
  </si>
  <si>
    <t>The standard package price is potential value, not quoted pipeline or revenue.</t>
  </si>
  <si>
    <t>Initial cold contact + max two respectful cold follow-ups; stop sooner on decline/opt-out and avoid duplicate account touches.</t>
  </si>
  <si>
    <t>Claims</t>
  </si>
  <si>
    <t>No guaranteed leads, ROI, rankings, bookings, response rates, or revenue.</t>
  </si>
  <si>
    <t>Workbook generation</t>
  </si>
  <si>
    <t>GitHub Actions regenerates this XLSX from the live feed + truth-preserving pipeline history.</t>
  </si>
  <si>
    <t>Refresh Date</t>
  </si>
  <si>
    <t>Fresh Leads</t>
  </si>
  <si>
    <t>Observed Contact Records</t>
  </si>
  <si>
    <t>Archived Records</t>
  </si>
  <si>
    <t>Notes</t>
  </si>
  <si>
    <t>Generated from the verified lead feed and preserved pipeline history. Unobserved outcomes remain zero/blank.</t>
  </si>
</sst>
</file>

<file path=xl/styles.xml><?xml version="1.0" encoding="utf-8"?>
<styleSheet xmlns="http://schemas.openxmlformats.org/spreadsheetml/2006/main">
  <numFmts count="2">
    <numFmt numFmtId="164" formatCode="$#,##0"/>
    <numFmt numFmtId="165" formatCode="0.0%"/>
  </numFmts>
  <fonts count="3">
    <font>
      <sz val="11"/>
      <color theme="1"/>
      <name val="Calibri"/>
      <family val="2"/>
      <scheme val="minor"/>
    </font>
    <font>
      <b/>
      <sz val="11"/>
      <color rgb="FFFFFFFF"/>
      <name val="Calibri"/>
      <family val="2"/>
      <scheme val="minor"/>
    </font>
    <font>
      <b/>
      <sz val="16"/>
      <color rgb="FFFFFFFF"/>
      <name val="Calibri"/>
      <family val="2"/>
      <scheme val="minor"/>
    </font>
  </fonts>
  <fills count="5">
    <fill>
      <patternFill patternType="none"/>
    </fill>
    <fill>
      <patternFill patternType="gray125"/>
    </fill>
    <fill>
      <patternFill patternType="solid">
        <fgColor rgb="FF1F4E78"/>
        <bgColor indexed="64"/>
      </patternFill>
    </fill>
    <fill>
      <patternFill patternType="solid">
        <fgColor rgb="FF475569"/>
        <bgColor indexed="64"/>
      </patternFill>
    </fill>
    <fill>
      <patternFill patternType="solid">
        <fgColor rgb="FF111827"/>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xf>
    <xf numFmtId="0" fontId="1" fillId="3" borderId="1" xfId="0" applyFont="1" applyFill="1" applyBorder="1" applyAlignment="1">
      <alignment wrapText="1"/>
    </xf>
    <xf numFmtId="0" fontId="2" fillId="4" borderId="0" xfId="0" applyFont="1" applyFill="1" applyAlignment="1">
      <alignment horizontal="center" vertical="center"/>
    </xf>
    <xf numFmtId="165" fontId="0" fillId="0" borderId="2" xfId="0" applyNumberFormat="1" applyBorder="1"/>
  </cellXfs>
  <cellStyles count="1">
    <cellStyle name="Normal" xfId="0" builtinId="0"/>
  </cellStyles>
  <dxfs count="2">
    <dxf>
      <font>
        <b/>
        <color rgb="FF166534"/>
      </font>
      <fill>
        <patternFill>
          <bgColor rgb="FFDCFCE7"/>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bayhvacmasters.com/contact/" TargetMode="External"/><Relationship Id="rId2" Type="http://schemas.openxmlformats.org/officeDocument/2006/relationships/hyperlink" Target="https://www.jsogaragedoor.com/contact" TargetMode="External"/><Relationship Id="rId3" Type="http://schemas.openxmlformats.org/officeDocument/2006/relationships/hyperlink" Target="https://eliteunitgroup.com/contact" TargetMode="External"/><Relationship Id="rId4" Type="http://schemas.openxmlformats.org/officeDocument/2006/relationships/hyperlink" Target="https://pristineconstructionllc.com/" TargetMode="External"/><Relationship Id="rId5" Type="http://schemas.openxmlformats.org/officeDocument/2006/relationships/hyperlink" Target="https://maisonremodeling.com/contact" TargetMode="External"/><Relationship Id="rId6" Type="http://schemas.openxmlformats.org/officeDocument/2006/relationships/hyperlink" Target="https://www.atlantis-remodeling.com/contact" TargetMode="External"/><Relationship Id="rId7" Type="http://schemas.openxmlformats.org/officeDocument/2006/relationships/hyperlink" Target="https://www.valgregconstruction.com/free-estimate" TargetMode="External"/><Relationship Id="rId8" Type="http://schemas.openxmlformats.org/officeDocument/2006/relationships/hyperlink" Target="https://www.ottoandsonsco.com/contact" TargetMode="External"/><Relationship Id="rId9" Type="http://schemas.openxmlformats.org/officeDocument/2006/relationships/hyperlink" Target="https://sbhconstructioninc.com/services/" TargetMode="External"/><Relationship Id="rId10" Type="http://schemas.openxmlformats.org/officeDocument/2006/relationships/hyperlink" Target="https://bayareafabrications.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ayhvacmasters.com/contact/" TargetMode="External"/><Relationship Id="rId2" Type="http://schemas.openxmlformats.org/officeDocument/2006/relationships/hyperlink" Target="https://www.jsogaragedoor.com/contact" TargetMode="External"/><Relationship Id="rId3" Type="http://schemas.openxmlformats.org/officeDocument/2006/relationships/hyperlink" Target="https://eliteunitgroup.com/contact" TargetMode="External"/><Relationship Id="rId4" Type="http://schemas.openxmlformats.org/officeDocument/2006/relationships/hyperlink" Target="https://pristineconstructionllc.com/" TargetMode="External"/><Relationship Id="rId5" Type="http://schemas.openxmlformats.org/officeDocument/2006/relationships/hyperlink" Target="https://maisonremodeling.com/contact" TargetMode="External"/><Relationship Id="rId6" Type="http://schemas.openxmlformats.org/officeDocument/2006/relationships/hyperlink" Target="https://www.atlantis-remodeling.com/contact" TargetMode="External"/><Relationship Id="rId7" Type="http://schemas.openxmlformats.org/officeDocument/2006/relationships/hyperlink" Target="https://www.valgregconstruction.com/free-estimate" TargetMode="External"/><Relationship Id="rId8" Type="http://schemas.openxmlformats.org/officeDocument/2006/relationships/hyperlink" Target="https://www.ottoandsonsco.com/contact" TargetMode="External"/><Relationship Id="rId9" Type="http://schemas.openxmlformats.org/officeDocument/2006/relationships/hyperlink" Target="https://sbhconstructioninc.com/services/" TargetMode="External"/><Relationship Id="rId10" Type="http://schemas.openxmlformats.org/officeDocument/2006/relationships/hyperlink" Target="https://bayareafabrications.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bayhvacmasters.com/contact/" TargetMode="External"/><Relationship Id="rId2" Type="http://schemas.openxmlformats.org/officeDocument/2006/relationships/hyperlink" Target="https://www.jsogaragedoor.com/contact" TargetMode="External"/><Relationship Id="rId3" Type="http://schemas.openxmlformats.org/officeDocument/2006/relationships/hyperlink" Target="https://eliteunitgroup.com/contact" TargetMode="External"/><Relationship Id="rId4" Type="http://schemas.openxmlformats.org/officeDocument/2006/relationships/hyperlink" Target="https://pristineconstructionllc.com/" TargetMode="External"/><Relationship Id="rId5" Type="http://schemas.openxmlformats.org/officeDocument/2006/relationships/hyperlink" Target="https://maisonremodeling.com/contact" TargetMode="External"/><Relationship Id="rId6" Type="http://schemas.openxmlformats.org/officeDocument/2006/relationships/hyperlink" Target="https://www.atlantis-remodeling.com/contact" TargetMode="External"/><Relationship Id="rId7" Type="http://schemas.openxmlformats.org/officeDocument/2006/relationships/hyperlink" Target="https://www.valgregconstruction.com/free-estimate" TargetMode="External"/><Relationship Id="rId8" Type="http://schemas.openxmlformats.org/officeDocument/2006/relationships/hyperlink" Target="https://www.ottoandsonsco.com/contact" TargetMode="External"/><Relationship Id="rId9" Type="http://schemas.openxmlformats.org/officeDocument/2006/relationships/hyperlink" Target="https://sbhconstructioninc.com/services/" TargetMode="External"/><Relationship Id="rId10" Type="http://schemas.openxmlformats.org/officeDocument/2006/relationships/hyperlink" Target="https://bayareafabrications.com/" TargetMode="External"/></Relationships>
</file>

<file path=xl/worksheets/sheet1.xml><?xml version="1.0" encoding="utf-8"?>
<worksheet xmlns="http://schemas.openxmlformats.org/spreadsheetml/2006/main" xmlns:r="http://schemas.openxmlformats.org/officeDocument/2006/relationships">
  <dimension ref="A1:O11"/>
  <sheetViews>
    <sheetView tabSelected="1" workbookViewId="0">
      <pane ySplit="1" topLeftCell="A2" activePane="bottomLeft" state="frozen"/>
      <selection pane="bottomLeft"/>
    </sheetView>
  </sheetViews>
  <sheetFormatPr defaultRowHeight="15"/>
  <cols>
    <col min="1" max="1" width="7.7109375" customWidth="1"/>
    <col min="2" max="2" width="32.7109375" customWidth="1"/>
    <col min="3" max="3" width="26.7109375" customWidth="1"/>
    <col min="4" max="4" width="22.7109375" customWidth="1"/>
    <col min="5" max="5" width="8.7109375" customWidth="1"/>
    <col min="6" max="6" width="54.7109375" customWidth="1"/>
    <col min="7" max="7" width="18.7109375" customWidth="1"/>
    <col min="8" max="8" width="34.7109375" customWidth="1"/>
    <col min="9" max="9" width="30.7109375" customWidth="1"/>
    <col min="10" max="10" width="48.7109375" customWidth="1"/>
    <col min="11" max="11" width="38.7109375" customWidth="1"/>
    <col min="12" max="12" width="72.7109375" customWidth="1"/>
    <col min="13" max="13" width="50.7109375" customWidth="1"/>
    <col min="14" max="14" width="14.7109375" customWidth="1"/>
    <col min="15" max="15" width="18.7109375" customWidth="1"/>
  </cols>
  <sheetData>
    <row r="1"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c r="A2" s="2">
        <v>1</v>
      </c>
      <c r="B2" s="2" t="s">
        <v>15</v>
      </c>
      <c r="C2" s="2" t="s">
        <v>16</v>
      </c>
      <c r="D2" s="2" t="s">
        <v>17</v>
      </c>
      <c r="E2" s="2" t="s">
        <v>18</v>
      </c>
      <c r="F2" s="2" t="s">
        <v>19</v>
      </c>
      <c r="G2" s="2"/>
      <c r="H2" s="2" t="s">
        <v>20</v>
      </c>
      <c r="I2" s="2" t="s">
        <v>21</v>
      </c>
      <c r="J2" s="2" t="s">
        <v>22</v>
      </c>
      <c r="K2" s="2" t="s">
        <v>23</v>
      </c>
      <c r="L2" s="2" t="s">
        <v>24</v>
      </c>
      <c r="M2" s="2" t="s">
        <v>25</v>
      </c>
      <c r="N2" s="2" t="s">
        <v>26</v>
      </c>
      <c r="O2" s="2" t="s">
        <v>27</v>
      </c>
    </row>
    <row r="3" spans="1:15">
      <c r="A3" s="2">
        <v>2</v>
      </c>
      <c r="B3" s="2" t="s">
        <v>28</v>
      </c>
      <c r="C3" s="2" t="s">
        <v>29</v>
      </c>
      <c r="D3" s="2" t="s">
        <v>30</v>
      </c>
      <c r="E3" s="2" t="s">
        <v>18</v>
      </c>
      <c r="F3" s="2" t="s">
        <v>31</v>
      </c>
      <c r="G3" s="2"/>
      <c r="H3" s="2" t="s">
        <v>32</v>
      </c>
      <c r="I3" s="2" t="s">
        <v>33</v>
      </c>
      <c r="J3" s="2" t="s">
        <v>34</v>
      </c>
      <c r="K3" s="2" t="s">
        <v>35</v>
      </c>
      <c r="L3" s="2" t="s">
        <v>36</v>
      </c>
      <c r="M3" s="2" t="s">
        <v>37</v>
      </c>
      <c r="N3" s="2" t="s">
        <v>26</v>
      </c>
      <c r="O3" s="2" t="s">
        <v>27</v>
      </c>
    </row>
    <row r="4" spans="1:15">
      <c r="A4" s="2">
        <v>3</v>
      </c>
      <c r="B4" s="2" t="s">
        <v>38</v>
      </c>
      <c r="C4" s="2" t="s">
        <v>39</v>
      </c>
      <c r="D4" s="2" t="s">
        <v>40</v>
      </c>
      <c r="E4" s="2" t="s">
        <v>18</v>
      </c>
      <c r="F4" s="2" t="s">
        <v>41</v>
      </c>
      <c r="G4" s="2"/>
      <c r="H4" s="2" t="s">
        <v>42</v>
      </c>
      <c r="I4" s="2" t="s">
        <v>43</v>
      </c>
      <c r="J4" s="2" t="s">
        <v>44</v>
      </c>
      <c r="K4" s="2" t="s">
        <v>45</v>
      </c>
      <c r="L4" s="2" t="s">
        <v>46</v>
      </c>
      <c r="M4" s="2" t="s">
        <v>47</v>
      </c>
      <c r="N4" s="2" t="s">
        <v>26</v>
      </c>
      <c r="O4" s="2" t="s">
        <v>27</v>
      </c>
    </row>
    <row r="5" spans="1:15">
      <c r="A5" s="2">
        <v>4</v>
      </c>
      <c r="B5" s="2" t="s">
        <v>48</v>
      </c>
      <c r="C5" s="2" t="s">
        <v>49</v>
      </c>
      <c r="D5" s="2" t="s">
        <v>17</v>
      </c>
      <c r="E5" s="2" t="s">
        <v>18</v>
      </c>
      <c r="F5" s="2" t="s">
        <v>50</v>
      </c>
      <c r="G5" s="2"/>
      <c r="H5" s="2" t="s">
        <v>51</v>
      </c>
      <c r="I5" s="2" t="s">
        <v>52</v>
      </c>
      <c r="J5" s="2" t="s">
        <v>53</v>
      </c>
      <c r="K5" s="2" t="s">
        <v>54</v>
      </c>
      <c r="L5" s="2" t="s">
        <v>55</v>
      </c>
      <c r="M5" s="2" t="s">
        <v>56</v>
      </c>
      <c r="N5" s="2" t="s">
        <v>26</v>
      </c>
      <c r="O5" s="2" t="s">
        <v>27</v>
      </c>
    </row>
    <row r="6" spans="1:15">
      <c r="A6" s="2">
        <v>5</v>
      </c>
      <c r="B6" s="2" t="s">
        <v>57</v>
      </c>
      <c r="C6" s="2" t="s">
        <v>58</v>
      </c>
      <c r="D6" s="2" t="s">
        <v>59</v>
      </c>
      <c r="E6" s="2" t="s">
        <v>18</v>
      </c>
      <c r="F6" s="2" t="s">
        <v>60</v>
      </c>
      <c r="G6" s="2"/>
      <c r="H6" s="2" t="s">
        <v>61</v>
      </c>
      <c r="I6" s="2" t="s">
        <v>62</v>
      </c>
      <c r="J6" s="2" t="s">
        <v>63</v>
      </c>
      <c r="K6" s="2" t="s">
        <v>64</v>
      </c>
      <c r="L6" s="2" t="s">
        <v>65</v>
      </c>
      <c r="M6" s="2" t="s">
        <v>66</v>
      </c>
      <c r="N6" s="2" t="s">
        <v>26</v>
      </c>
      <c r="O6" s="2" t="s">
        <v>27</v>
      </c>
    </row>
    <row r="7" spans="1:15">
      <c r="A7" s="2">
        <v>6</v>
      </c>
      <c r="B7" s="2" t="s">
        <v>67</v>
      </c>
      <c r="C7" s="2" t="s">
        <v>49</v>
      </c>
      <c r="D7" s="2" t="s">
        <v>17</v>
      </c>
      <c r="E7" s="2" t="s">
        <v>18</v>
      </c>
      <c r="F7" s="2" t="s">
        <v>68</v>
      </c>
      <c r="G7" s="2"/>
      <c r="H7" s="2" t="s">
        <v>69</v>
      </c>
      <c r="I7" s="2" t="s">
        <v>70</v>
      </c>
      <c r="J7" s="2" t="s">
        <v>71</v>
      </c>
      <c r="K7" s="2" t="s">
        <v>72</v>
      </c>
      <c r="L7" s="2" t="s">
        <v>73</v>
      </c>
      <c r="M7" s="2" t="s">
        <v>74</v>
      </c>
      <c r="N7" s="2" t="s">
        <v>26</v>
      </c>
      <c r="O7" s="2" t="s">
        <v>27</v>
      </c>
    </row>
    <row r="8" spans="1:15">
      <c r="A8" s="2">
        <v>7</v>
      </c>
      <c r="B8" s="2" t="s">
        <v>75</v>
      </c>
      <c r="C8" s="2" t="s">
        <v>76</v>
      </c>
      <c r="D8" s="2" t="s">
        <v>77</v>
      </c>
      <c r="E8" s="2" t="s">
        <v>18</v>
      </c>
      <c r="F8" s="2" t="s">
        <v>78</v>
      </c>
      <c r="G8" s="2"/>
      <c r="H8" s="2" t="s">
        <v>79</v>
      </c>
      <c r="I8" s="2" t="s">
        <v>80</v>
      </c>
      <c r="J8" s="2" t="s">
        <v>81</v>
      </c>
      <c r="K8" s="2" t="s">
        <v>82</v>
      </c>
      <c r="L8" s="2" t="s">
        <v>83</v>
      </c>
      <c r="M8" s="2" t="s">
        <v>84</v>
      </c>
      <c r="N8" s="2" t="s">
        <v>26</v>
      </c>
      <c r="O8" s="2" t="s">
        <v>27</v>
      </c>
    </row>
    <row r="9" spans="1:15">
      <c r="A9" s="2">
        <v>8</v>
      </c>
      <c r="B9" s="2" t="s">
        <v>85</v>
      </c>
      <c r="C9" s="2" t="s">
        <v>86</v>
      </c>
      <c r="D9" s="2" t="s">
        <v>87</v>
      </c>
      <c r="E9" s="2" t="s">
        <v>18</v>
      </c>
      <c r="F9" s="2" t="s">
        <v>88</v>
      </c>
      <c r="G9" s="2"/>
      <c r="H9" s="2" t="s">
        <v>89</v>
      </c>
      <c r="I9" s="2" t="s">
        <v>90</v>
      </c>
      <c r="J9" s="2" t="s">
        <v>91</v>
      </c>
      <c r="K9" s="2" t="s">
        <v>92</v>
      </c>
      <c r="L9" s="2" t="s">
        <v>93</v>
      </c>
      <c r="M9" s="2" t="s">
        <v>94</v>
      </c>
      <c r="N9" s="2" t="s">
        <v>26</v>
      </c>
      <c r="O9" s="2" t="s">
        <v>27</v>
      </c>
    </row>
    <row r="10" spans="1:15">
      <c r="A10" s="2">
        <v>9</v>
      </c>
      <c r="B10" s="2" t="s">
        <v>95</v>
      </c>
      <c r="C10" s="2" t="s">
        <v>96</v>
      </c>
      <c r="D10" s="2" t="s">
        <v>97</v>
      </c>
      <c r="E10" s="2" t="s">
        <v>18</v>
      </c>
      <c r="F10" s="2" t="s">
        <v>98</v>
      </c>
      <c r="G10" s="2"/>
      <c r="H10" s="2" t="s">
        <v>99</v>
      </c>
      <c r="I10" s="2" t="s">
        <v>100</v>
      </c>
      <c r="J10" s="2" t="s">
        <v>101</v>
      </c>
      <c r="K10" s="2" t="s">
        <v>102</v>
      </c>
      <c r="L10" s="2" t="s">
        <v>103</v>
      </c>
      <c r="M10" s="2" t="s">
        <v>104</v>
      </c>
      <c r="N10" s="2" t="s">
        <v>26</v>
      </c>
      <c r="O10" s="2" t="s">
        <v>27</v>
      </c>
    </row>
    <row r="11" spans="1:15">
      <c r="A11" s="2">
        <v>10</v>
      </c>
      <c r="B11" s="2" t="s">
        <v>105</v>
      </c>
      <c r="C11" s="2" t="s">
        <v>106</v>
      </c>
      <c r="D11" s="2" t="s">
        <v>107</v>
      </c>
      <c r="E11" s="2" t="s">
        <v>18</v>
      </c>
      <c r="F11" s="2" t="s">
        <v>108</v>
      </c>
      <c r="G11" s="2"/>
      <c r="H11" s="2" t="s">
        <v>109</v>
      </c>
      <c r="I11" s="2" t="s">
        <v>110</v>
      </c>
      <c r="J11" s="2" t="s">
        <v>111</v>
      </c>
      <c r="K11" s="2" t="s">
        <v>112</v>
      </c>
      <c r="L11" s="2" t="s">
        <v>113</v>
      </c>
      <c r="M11" s="2" t="s">
        <v>114</v>
      </c>
      <c r="N11" s="2" t="s">
        <v>26</v>
      </c>
      <c r="O11" s="2" t="s">
        <v>27</v>
      </c>
    </row>
  </sheetData>
  <autoFilter ref="A1:O11"/>
  <conditionalFormatting sqref="E2:E11">
    <cfRule type="containsText" dxfId="0" priority="1" operator="containsText" text="A">
      <formula>NOT(ISERROR(SEARCH("A",E2)))</formula>
    </cfRule>
  </conditionalFormatting>
  <hyperlinks>
    <hyperlink ref="M2" r:id="rId1"/>
    <hyperlink ref="M3" r:id="rId2"/>
    <hyperlink ref="M4" r:id="rId3"/>
    <hyperlink ref="M5" r:id="rId4"/>
    <hyperlink ref="M6" r:id="rId5"/>
    <hyperlink ref="M7" r:id="rId6"/>
    <hyperlink ref="M8" r:id="rId7"/>
    <hyperlink ref="M9" r:id="rId8"/>
    <hyperlink ref="M10" r:id="rId9"/>
    <hyperlink ref="M11" r:id="rId10"/>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34.7109375" customWidth="1"/>
    <col min="4" max="4" width="92.7109375" customWidth="1"/>
  </cols>
  <sheetData>
    <row r="1" spans="1:4">
      <c r="A1" s="1" t="s">
        <v>115</v>
      </c>
      <c r="B1" s="1" t="s">
        <v>116</v>
      </c>
      <c r="C1" s="1" t="s">
        <v>117</v>
      </c>
      <c r="D1" s="1" t="s">
        <v>118</v>
      </c>
    </row>
    <row r="2" spans="1:4">
      <c r="A2" s="2" t="s">
        <v>119</v>
      </c>
      <c r="B2" s="2" t="s">
        <v>120</v>
      </c>
      <c r="C2" s="2" t="s">
        <v>121</v>
      </c>
      <c r="D2" s="2" t="s">
        <v>122</v>
      </c>
    </row>
    <row r="3" spans="1:4">
      <c r="A3" s="2" t="s">
        <v>123</v>
      </c>
      <c r="B3" s="2" t="s">
        <v>124</v>
      </c>
      <c r="C3" s="2" t="s">
        <v>125</v>
      </c>
      <c r="D3" s="2" t="s">
        <v>126</v>
      </c>
    </row>
    <row r="4" spans="1:4">
      <c r="A4" s="2" t="s">
        <v>127</v>
      </c>
      <c r="B4" s="2" t="s">
        <v>128</v>
      </c>
      <c r="C4" s="2" t="s">
        <v>129</v>
      </c>
      <c r="D4" s="2" t="s">
        <v>130</v>
      </c>
    </row>
    <row r="5" spans="1:4">
      <c r="A5" s="2" t="s">
        <v>131</v>
      </c>
      <c r="B5" s="2" t="s">
        <v>132</v>
      </c>
      <c r="C5" s="2" t="s">
        <v>133</v>
      </c>
      <c r="D5" s="2" t="s">
        <v>134</v>
      </c>
    </row>
    <row r="6" spans="1:4">
      <c r="A6" s="2" t="s">
        <v>135</v>
      </c>
      <c r="B6" s="2" t="s">
        <v>136</v>
      </c>
      <c r="C6" s="2" t="s">
        <v>137</v>
      </c>
      <c r="D6" s="2" t="s">
        <v>138</v>
      </c>
    </row>
    <row r="7" spans="1:4">
      <c r="A7" s="2" t="s">
        <v>139</v>
      </c>
      <c r="B7" s="2" t="s">
        <v>140</v>
      </c>
      <c r="C7" s="2" t="s">
        <v>141</v>
      </c>
      <c r="D7" s="2" t="s">
        <v>142</v>
      </c>
    </row>
    <row r="8" spans="1:4">
      <c r="A8" s="2" t="s">
        <v>143</v>
      </c>
      <c r="B8" s="2" t="s">
        <v>144</v>
      </c>
      <c r="C8" s="2" t="s">
        <v>145</v>
      </c>
      <c r="D8" s="2" t="s">
        <v>146</v>
      </c>
    </row>
    <row r="9" spans="1:4">
      <c r="A9" s="2" t="s">
        <v>147</v>
      </c>
      <c r="B9" s="2" t="s">
        <v>148</v>
      </c>
      <c r="C9" s="2" t="s">
        <v>149</v>
      </c>
      <c r="D9" s="2" t="s">
        <v>150</v>
      </c>
    </row>
    <row r="10" spans="1:4">
      <c r="A10" s="2" t="s">
        <v>151</v>
      </c>
      <c r="B10" s="2" t="s">
        <v>152</v>
      </c>
      <c r="C10" s="2" t="s">
        <v>153</v>
      </c>
      <c r="D10" s="2" t="s">
        <v>154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35"/>
  <sheetViews>
    <sheetView workbookViewId="0">
      <pane ySplit="1" topLeftCell="A2" activePane="bottomLeft" state="frozen"/>
      <selection pane="bottomLeft"/>
    </sheetView>
  </sheetViews>
  <sheetFormatPr defaultRowHeight="15"/>
  <cols>
    <col min="1" max="1" width="32.7109375" customWidth="1"/>
    <col min="2" max="2" width="10.7109375" customWidth="1"/>
    <col min="3" max="3" width="34.7109375" customWidth="1"/>
    <col min="4" max="4" width="24.7109375" customWidth="1"/>
    <col min="5" max="5" width="14.7109375" customWidth="1"/>
    <col min="6" max="6" width="24.7109375" customWidth="1"/>
    <col min="7" max="7" width="14.7109375" customWidth="1"/>
    <col min="8" max="8" width="24.7109375" customWidth="1"/>
    <col min="9" max="9" width="38.7109375" customWidth="1"/>
    <col min="10" max="10" width="18.7109375" customWidth="1"/>
    <col min="11" max="12" width="12.7109375" customWidth="1"/>
    <col min="13" max="13" width="14.7109375" customWidth="1"/>
    <col min="14" max="14" width="58.7109375" customWidth="1"/>
    <col min="15" max="15" width="12.7109375" customWidth="1"/>
    <col min="16" max="16" width="14.7109375" customWidth="1"/>
    <col min="17" max="17" width="50.7109375" customWidth="1"/>
    <col min="18" max="18" width="14.7109375" customWidth="1"/>
  </cols>
  <sheetData>
    <row r="1" spans="1:18">
      <c r="A1" s="1" t="s">
        <v>155</v>
      </c>
      <c r="B1" s="1" t="s">
        <v>156</v>
      </c>
      <c r="C1" s="1" t="s">
        <v>157</v>
      </c>
      <c r="D1" s="1" t="s">
        <v>158</v>
      </c>
      <c r="E1" s="1" t="s">
        <v>159</v>
      </c>
      <c r="F1" s="1" t="s">
        <v>160</v>
      </c>
      <c r="G1" s="1" t="s">
        <v>161</v>
      </c>
      <c r="H1" s="1" t="s">
        <v>162</v>
      </c>
      <c r="I1" s="1" t="s">
        <v>163</v>
      </c>
      <c r="J1" s="1" t="s">
        <v>116</v>
      </c>
      <c r="K1" s="1" t="s">
        <v>164</v>
      </c>
      <c r="L1" s="1" t="s">
        <v>165</v>
      </c>
      <c r="M1" s="1" t="s">
        <v>166</v>
      </c>
      <c r="N1" s="1" t="s">
        <v>167</v>
      </c>
      <c r="O1" s="1" t="s">
        <v>168</v>
      </c>
      <c r="P1" s="1" t="s">
        <v>169</v>
      </c>
      <c r="Q1" s="1" t="s">
        <v>170</v>
      </c>
      <c r="R1" s="1" t="s">
        <v>171</v>
      </c>
    </row>
    <row r="2" spans="1:18">
      <c r="A2" s="2" t="s">
        <v>15</v>
      </c>
      <c r="B2" s="2">
        <v>1</v>
      </c>
      <c r="C2" s="2" t="s">
        <v>20</v>
      </c>
      <c r="D2" s="2"/>
      <c r="E2" s="2"/>
      <c r="F2" s="2"/>
      <c r="G2" s="2"/>
      <c r="H2" s="2"/>
      <c r="I2" s="2"/>
      <c r="J2" s="2" t="s">
        <v>27</v>
      </c>
      <c r="K2" s="3">
        <v>0</v>
      </c>
      <c r="L2" s="3">
        <v>0</v>
      </c>
      <c r="M2" s="2"/>
      <c r="N2" s="2"/>
      <c r="O2" s="2"/>
      <c r="P2" s="2" t="s">
        <v>26</v>
      </c>
      <c r="Q2" s="2" t="s">
        <v>25</v>
      </c>
      <c r="R2" s="3">
        <v>150</v>
      </c>
    </row>
    <row r="3" spans="1:18">
      <c r="A3" s="2" t="s">
        <v>28</v>
      </c>
      <c r="B3" s="2">
        <v>2</v>
      </c>
      <c r="C3" s="2" t="s">
        <v>32</v>
      </c>
      <c r="D3" s="2"/>
      <c r="E3" s="2"/>
      <c r="F3" s="2"/>
      <c r="G3" s="2"/>
      <c r="H3" s="2"/>
      <c r="I3" s="2"/>
      <c r="J3" s="2" t="s">
        <v>27</v>
      </c>
      <c r="K3" s="3">
        <v>0</v>
      </c>
      <c r="L3" s="3">
        <v>0</v>
      </c>
      <c r="M3" s="2"/>
      <c r="N3" s="2"/>
      <c r="O3" s="2"/>
      <c r="P3" s="2" t="s">
        <v>26</v>
      </c>
      <c r="Q3" s="2" t="s">
        <v>37</v>
      </c>
      <c r="R3" s="3">
        <v>150</v>
      </c>
    </row>
    <row r="4" spans="1:18">
      <c r="A4" s="2" t="s">
        <v>38</v>
      </c>
      <c r="B4" s="2">
        <v>3</v>
      </c>
      <c r="C4" s="2" t="s">
        <v>42</v>
      </c>
      <c r="D4" s="2"/>
      <c r="E4" s="2"/>
      <c r="F4" s="2"/>
      <c r="G4" s="2"/>
      <c r="H4" s="2"/>
      <c r="I4" s="2"/>
      <c r="J4" s="2" t="s">
        <v>27</v>
      </c>
      <c r="K4" s="3">
        <v>0</v>
      </c>
      <c r="L4" s="3">
        <v>0</v>
      </c>
      <c r="M4" s="2"/>
      <c r="N4" s="2"/>
      <c r="O4" s="2"/>
      <c r="P4" s="2" t="s">
        <v>26</v>
      </c>
      <c r="Q4" s="2" t="s">
        <v>47</v>
      </c>
      <c r="R4" s="3">
        <v>150</v>
      </c>
    </row>
    <row r="5" spans="1:18">
      <c r="A5" s="2" t="s">
        <v>48</v>
      </c>
      <c r="B5" s="2">
        <v>4</v>
      </c>
      <c r="C5" s="2" t="s">
        <v>51</v>
      </c>
      <c r="D5" s="2"/>
      <c r="E5" s="2"/>
      <c r="F5" s="2"/>
      <c r="G5" s="2"/>
      <c r="H5" s="2"/>
      <c r="I5" s="2"/>
      <c r="J5" s="2" t="s">
        <v>27</v>
      </c>
      <c r="K5" s="3">
        <v>0</v>
      </c>
      <c r="L5" s="3">
        <v>0</v>
      </c>
      <c r="M5" s="2"/>
      <c r="N5" s="2"/>
      <c r="O5" s="2"/>
      <c r="P5" s="2" t="s">
        <v>26</v>
      </c>
      <c r="Q5" s="2" t="s">
        <v>56</v>
      </c>
      <c r="R5" s="3">
        <v>150</v>
      </c>
    </row>
    <row r="6" spans="1:18">
      <c r="A6" s="2" t="s">
        <v>57</v>
      </c>
      <c r="B6" s="2">
        <v>5</v>
      </c>
      <c r="C6" s="2" t="s">
        <v>61</v>
      </c>
      <c r="D6" s="2"/>
      <c r="E6" s="2"/>
      <c r="F6" s="2"/>
      <c r="G6" s="2"/>
      <c r="H6" s="2"/>
      <c r="I6" s="2"/>
      <c r="J6" s="2" t="s">
        <v>27</v>
      </c>
      <c r="K6" s="3">
        <v>0</v>
      </c>
      <c r="L6" s="3">
        <v>0</v>
      </c>
      <c r="M6" s="2"/>
      <c r="N6" s="2"/>
      <c r="O6" s="2"/>
      <c r="P6" s="2" t="s">
        <v>26</v>
      </c>
      <c r="Q6" s="2" t="s">
        <v>66</v>
      </c>
      <c r="R6" s="3">
        <v>150</v>
      </c>
    </row>
    <row r="7" spans="1:18">
      <c r="A7" s="2" t="s">
        <v>67</v>
      </c>
      <c r="B7" s="2">
        <v>6</v>
      </c>
      <c r="C7" s="2" t="s">
        <v>69</v>
      </c>
      <c r="D7" s="2"/>
      <c r="E7" s="2"/>
      <c r="F7" s="2"/>
      <c r="G7" s="2"/>
      <c r="H7" s="2"/>
      <c r="I7" s="2"/>
      <c r="J7" s="2" t="s">
        <v>27</v>
      </c>
      <c r="K7" s="3">
        <v>0</v>
      </c>
      <c r="L7" s="3">
        <v>0</v>
      </c>
      <c r="M7" s="2"/>
      <c r="N7" s="2"/>
      <c r="O7" s="2"/>
      <c r="P7" s="2" t="s">
        <v>26</v>
      </c>
      <c r="Q7" s="2" t="s">
        <v>74</v>
      </c>
      <c r="R7" s="3">
        <v>150</v>
      </c>
    </row>
    <row r="8" spans="1:18">
      <c r="A8" s="2" t="s">
        <v>75</v>
      </c>
      <c r="B8" s="2">
        <v>7</v>
      </c>
      <c r="C8" s="2" t="s">
        <v>79</v>
      </c>
      <c r="D8" s="2"/>
      <c r="E8" s="2"/>
      <c r="F8" s="2"/>
      <c r="G8" s="2"/>
      <c r="H8" s="2"/>
      <c r="I8" s="2"/>
      <c r="J8" s="2" t="s">
        <v>27</v>
      </c>
      <c r="K8" s="3">
        <v>0</v>
      </c>
      <c r="L8" s="3">
        <v>0</v>
      </c>
      <c r="M8" s="2"/>
      <c r="N8" s="2"/>
      <c r="O8" s="2"/>
      <c r="P8" s="2" t="s">
        <v>26</v>
      </c>
      <c r="Q8" s="2" t="s">
        <v>84</v>
      </c>
      <c r="R8" s="3">
        <v>150</v>
      </c>
    </row>
    <row r="9" spans="1:18">
      <c r="A9" s="2" t="s">
        <v>85</v>
      </c>
      <c r="B9" s="2">
        <v>8</v>
      </c>
      <c r="C9" s="2" t="s">
        <v>89</v>
      </c>
      <c r="D9" s="2"/>
      <c r="E9" s="2"/>
      <c r="F9" s="2"/>
      <c r="G9" s="2"/>
      <c r="H9" s="2"/>
      <c r="I9" s="2"/>
      <c r="J9" s="2" t="s">
        <v>27</v>
      </c>
      <c r="K9" s="3">
        <v>0</v>
      </c>
      <c r="L9" s="3">
        <v>0</v>
      </c>
      <c r="M9" s="2"/>
      <c r="N9" s="2"/>
      <c r="O9" s="2"/>
      <c r="P9" s="2" t="s">
        <v>26</v>
      </c>
      <c r="Q9" s="2" t="s">
        <v>94</v>
      </c>
      <c r="R9" s="3">
        <v>150</v>
      </c>
    </row>
    <row r="10" spans="1:18">
      <c r="A10" s="2" t="s">
        <v>95</v>
      </c>
      <c r="B10" s="2">
        <v>9</v>
      </c>
      <c r="C10" s="2" t="s">
        <v>99</v>
      </c>
      <c r="D10" s="2"/>
      <c r="E10" s="2"/>
      <c r="F10" s="2"/>
      <c r="G10" s="2"/>
      <c r="H10" s="2"/>
      <c r="I10" s="2"/>
      <c r="J10" s="2" t="s">
        <v>27</v>
      </c>
      <c r="K10" s="3">
        <v>0</v>
      </c>
      <c r="L10" s="3">
        <v>0</v>
      </c>
      <c r="M10" s="2"/>
      <c r="N10" s="2"/>
      <c r="O10" s="2"/>
      <c r="P10" s="2" t="s">
        <v>26</v>
      </c>
      <c r="Q10" s="2" t="s">
        <v>104</v>
      </c>
      <c r="R10" s="3">
        <v>150</v>
      </c>
    </row>
    <row r="11" spans="1:18">
      <c r="A11" s="2" t="s">
        <v>105</v>
      </c>
      <c r="B11" s="2">
        <v>10</v>
      </c>
      <c r="C11" s="2" t="s">
        <v>109</v>
      </c>
      <c r="D11" s="2"/>
      <c r="E11" s="2"/>
      <c r="F11" s="2"/>
      <c r="G11" s="2"/>
      <c r="H11" s="2"/>
      <c r="I11" s="2"/>
      <c r="J11" s="2" t="s">
        <v>27</v>
      </c>
      <c r="K11" s="3">
        <v>0</v>
      </c>
      <c r="L11" s="3">
        <v>0</v>
      </c>
      <c r="M11" s="2"/>
      <c r="N11" s="2"/>
      <c r="O11" s="2"/>
      <c r="P11" s="2" t="s">
        <v>26</v>
      </c>
      <c r="Q11" s="2" t="s">
        <v>114</v>
      </c>
      <c r="R11" s="3">
        <v>150</v>
      </c>
    </row>
    <row r="12" spans="1:18">
      <c r="A12" s="2" t="s">
        <v>172</v>
      </c>
      <c r="B12" s="2" t="s">
        <v>173</v>
      </c>
      <c r="C12" s="2" t="s">
        <v>174</v>
      </c>
      <c r="D12" s="2" t="s">
        <v>175</v>
      </c>
      <c r="E12" s="2" t="s">
        <v>176</v>
      </c>
      <c r="F12" s="2" t="s">
        <v>177</v>
      </c>
      <c r="G12" s="2"/>
      <c r="H12" s="2"/>
      <c r="I12" s="2"/>
      <c r="J12" s="2" t="s">
        <v>178</v>
      </c>
      <c r="K12" s="3">
        <v>0</v>
      </c>
      <c r="L12" s="3">
        <v>0</v>
      </c>
      <c r="M12" s="2"/>
      <c r="N12" s="2" t="s">
        <v>179</v>
      </c>
      <c r="O12" s="2"/>
      <c r="P12" s="2"/>
      <c r="Q12" s="2"/>
      <c r="R12" s="3">
        <v>150</v>
      </c>
    </row>
    <row r="13" spans="1:18">
      <c r="A13" s="2" t="s">
        <v>180</v>
      </c>
      <c r="B13" s="2" t="s">
        <v>173</v>
      </c>
      <c r="C13" s="2" t="s">
        <v>174</v>
      </c>
      <c r="D13" s="2" t="s">
        <v>181</v>
      </c>
      <c r="E13" s="2" t="s">
        <v>182</v>
      </c>
      <c r="F13" s="2" t="s">
        <v>183</v>
      </c>
      <c r="G13" s="2" t="s">
        <v>182</v>
      </c>
      <c r="H13" s="2" t="s">
        <v>184</v>
      </c>
      <c r="I13" s="2"/>
      <c r="J13" s="2" t="s">
        <v>178</v>
      </c>
      <c r="K13" s="3">
        <v>0</v>
      </c>
      <c r="L13" s="3">
        <v>0</v>
      </c>
      <c r="M13" s="2"/>
      <c r="N13" s="2" t="s">
        <v>185</v>
      </c>
      <c r="O13" s="2"/>
      <c r="P13" s="2"/>
      <c r="Q13" s="2"/>
      <c r="R13" s="3">
        <v>150</v>
      </c>
    </row>
    <row r="14" spans="1:18">
      <c r="A14" s="2" t="s">
        <v>186</v>
      </c>
      <c r="B14" s="2" t="s">
        <v>173</v>
      </c>
      <c r="C14" s="2" t="s">
        <v>174</v>
      </c>
      <c r="D14" s="2" t="s">
        <v>187</v>
      </c>
      <c r="E14" s="2" t="s">
        <v>188</v>
      </c>
      <c r="F14" s="2"/>
      <c r="G14" s="2"/>
      <c r="H14" s="2"/>
      <c r="I14" s="2"/>
      <c r="J14" s="2" t="s">
        <v>178</v>
      </c>
      <c r="K14" s="3">
        <v>0</v>
      </c>
      <c r="L14" s="3">
        <v>0</v>
      </c>
      <c r="M14" s="2"/>
      <c r="N14" s="2" t="s">
        <v>189</v>
      </c>
      <c r="O14" s="2"/>
      <c r="P14" s="2"/>
      <c r="Q14" s="2"/>
      <c r="R14" s="3">
        <v>150</v>
      </c>
    </row>
    <row r="15" spans="1:18">
      <c r="A15" s="2" t="s">
        <v>190</v>
      </c>
      <c r="B15" s="2" t="s">
        <v>173</v>
      </c>
      <c r="C15" s="2" t="s">
        <v>174</v>
      </c>
      <c r="D15" s="2" t="s">
        <v>191</v>
      </c>
      <c r="E15" s="2" t="s">
        <v>188</v>
      </c>
      <c r="F15" s="2"/>
      <c r="G15" s="2"/>
      <c r="H15" s="2"/>
      <c r="I15" s="2"/>
      <c r="J15" s="2" t="s">
        <v>178</v>
      </c>
      <c r="K15" s="3">
        <v>0</v>
      </c>
      <c r="L15" s="3">
        <v>0</v>
      </c>
      <c r="M15" s="2"/>
      <c r="N15" s="2" t="s">
        <v>189</v>
      </c>
      <c r="O15" s="2"/>
      <c r="P15" s="2"/>
      <c r="Q15" s="2"/>
      <c r="R15" s="3">
        <v>150</v>
      </c>
    </row>
    <row r="16" spans="1:18">
      <c r="A16" s="2" t="s">
        <v>192</v>
      </c>
      <c r="B16" s="2" t="s">
        <v>173</v>
      </c>
      <c r="C16" s="2" t="s">
        <v>174</v>
      </c>
      <c r="D16" s="2" t="s">
        <v>193</v>
      </c>
      <c r="E16" s="2" t="s">
        <v>188</v>
      </c>
      <c r="F16" s="2"/>
      <c r="G16" s="2"/>
      <c r="H16" s="2"/>
      <c r="I16" s="2"/>
      <c r="J16" s="2" t="s">
        <v>178</v>
      </c>
      <c r="K16" s="3">
        <v>0</v>
      </c>
      <c r="L16" s="3">
        <v>0</v>
      </c>
      <c r="M16" s="2"/>
      <c r="N16" s="2" t="s">
        <v>194</v>
      </c>
      <c r="O16" s="2"/>
      <c r="P16" s="2"/>
      <c r="Q16" s="2"/>
      <c r="R16" s="3">
        <v>150</v>
      </c>
    </row>
    <row r="17" spans="1:18">
      <c r="A17" s="2" t="s">
        <v>195</v>
      </c>
      <c r="B17" s="2" t="s">
        <v>173</v>
      </c>
      <c r="C17" s="2" t="s">
        <v>174</v>
      </c>
      <c r="D17" s="2" t="s">
        <v>196</v>
      </c>
      <c r="E17" s="2" t="s">
        <v>197</v>
      </c>
      <c r="F17" s="2"/>
      <c r="G17" s="2"/>
      <c r="H17" s="2"/>
      <c r="I17" s="2"/>
      <c r="J17" s="2" t="s">
        <v>178</v>
      </c>
      <c r="K17" s="3">
        <v>0</v>
      </c>
      <c r="L17" s="3">
        <v>0</v>
      </c>
      <c r="M17" s="2"/>
      <c r="N17" s="2" t="s">
        <v>194</v>
      </c>
      <c r="O17" s="2"/>
      <c r="P17" s="2"/>
      <c r="Q17" s="2"/>
      <c r="R17" s="3">
        <v>150</v>
      </c>
    </row>
    <row r="18" spans="1:18">
      <c r="A18" s="2" t="s">
        <v>198</v>
      </c>
      <c r="B18" s="2" t="s">
        <v>173</v>
      </c>
      <c r="C18" s="2" t="s">
        <v>174</v>
      </c>
      <c r="D18" s="2" t="s">
        <v>199</v>
      </c>
      <c r="E18" s="2" t="s">
        <v>197</v>
      </c>
      <c r="F18" s="2"/>
      <c r="G18" s="2"/>
      <c r="H18" s="2"/>
      <c r="I18" s="2"/>
      <c r="J18" s="2" t="s">
        <v>178</v>
      </c>
      <c r="K18" s="3">
        <v>0</v>
      </c>
      <c r="L18" s="3">
        <v>0</v>
      </c>
      <c r="M18" s="2"/>
      <c r="N18" s="2" t="s">
        <v>194</v>
      </c>
      <c r="O18" s="2"/>
      <c r="P18" s="2"/>
      <c r="Q18" s="2"/>
      <c r="R18" s="3">
        <v>150</v>
      </c>
    </row>
    <row r="19" spans="1:18">
      <c r="A19" s="2" t="s">
        <v>200</v>
      </c>
      <c r="B19" s="2" t="s">
        <v>173</v>
      </c>
      <c r="C19" s="2" t="s">
        <v>174</v>
      </c>
      <c r="D19" s="2" t="s">
        <v>201</v>
      </c>
      <c r="E19" s="2" t="s">
        <v>197</v>
      </c>
      <c r="F19" s="2"/>
      <c r="G19" s="2"/>
      <c r="H19" s="2"/>
      <c r="I19" s="2"/>
      <c r="J19" s="2" t="s">
        <v>178</v>
      </c>
      <c r="K19" s="3">
        <v>0</v>
      </c>
      <c r="L19" s="3">
        <v>0</v>
      </c>
      <c r="M19" s="2"/>
      <c r="N19" s="2" t="s">
        <v>194</v>
      </c>
      <c r="O19" s="2"/>
      <c r="P19" s="2"/>
      <c r="Q19" s="2"/>
      <c r="R19" s="3">
        <v>150</v>
      </c>
    </row>
    <row r="20" spans="1:18">
      <c r="A20" s="2" t="s">
        <v>202</v>
      </c>
      <c r="B20" s="2" t="s">
        <v>173</v>
      </c>
      <c r="C20" s="2" t="s">
        <v>174</v>
      </c>
      <c r="D20" s="2" t="s">
        <v>203</v>
      </c>
      <c r="E20" s="2" t="s">
        <v>197</v>
      </c>
      <c r="F20" s="2"/>
      <c r="G20" s="2"/>
      <c r="H20" s="2"/>
      <c r="I20" s="2"/>
      <c r="J20" s="2" t="s">
        <v>178</v>
      </c>
      <c r="K20" s="3">
        <v>0</v>
      </c>
      <c r="L20" s="3">
        <v>0</v>
      </c>
      <c r="M20" s="2"/>
      <c r="N20" s="2" t="s">
        <v>194</v>
      </c>
      <c r="O20" s="2"/>
      <c r="P20" s="2"/>
      <c r="Q20" s="2"/>
      <c r="R20" s="3">
        <v>150</v>
      </c>
    </row>
    <row r="21" spans="1:18">
      <c r="A21" s="2" t="s">
        <v>204</v>
      </c>
      <c r="B21" s="2" t="s">
        <v>173</v>
      </c>
      <c r="C21" s="2" t="s">
        <v>174</v>
      </c>
      <c r="D21" s="2" t="s">
        <v>205</v>
      </c>
      <c r="E21" s="2" t="s">
        <v>197</v>
      </c>
      <c r="F21" s="2"/>
      <c r="G21" s="2"/>
      <c r="H21" s="2"/>
      <c r="I21" s="2"/>
      <c r="J21" s="2" t="s">
        <v>178</v>
      </c>
      <c r="K21" s="3">
        <v>0</v>
      </c>
      <c r="L21" s="3">
        <v>0</v>
      </c>
      <c r="M21" s="2"/>
      <c r="N21" s="2" t="s">
        <v>194</v>
      </c>
      <c r="O21" s="2"/>
      <c r="P21" s="2"/>
      <c r="Q21" s="2"/>
      <c r="R21" s="3">
        <v>150</v>
      </c>
    </row>
    <row r="22" spans="1:18">
      <c r="A22" s="2" t="s">
        <v>206</v>
      </c>
      <c r="B22" s="2" t="s">
        <v>173</v>
      </c>
      <c r="C22" s="2" t="s">
        <v>174</v>
      </c>
      <c r="D22" s="2" t="s">
        <v>207</v>
      </c>
      <c r="E22" s="2" t="s">
        <v>188</v>
      </c>
      <c r="F22" s="2" t="s">
        <v>208</v>
      </c>
      <c r="G22" s="2"/>
      <c r="H22" s="2"/>
      <c r="I22" s="2"/>
      <c r="J22" s="2" t="s">
        <v>178</v>
      </c>
      <c r="K22" s="3">
        <v>0</v>
      </c>
      <c r="L22" s="3">
        <v>0</v>
      </c>
      <c r="M22" s="2"/>
      <c r="N22" s="2" t="s">
        <v>209</v>
      </c>
      <c r="O22" s="2"/>
      <c r="P22" s="2"/>
      <c r="Q22" s="2"/>
      <c r="R22" s="3">
        <v>150</v>
      </c>
    </row>
    <row r="23" spans="1:18">
      <c r="A23" s="2" t="s">
        <v>210</v>
      </c>
      <c r="B23" s="2" t="s">
        <v>173</v>
      </c>
      <c r="C23" s="2" t="s">
        <v>174</v>
      </c>
      <c r="D23" s="2" t="s">
        <v>211</v>
      </c>
      <c r="E23" s="2" t="s">
        <v>188</v>
      </c>
      <c r="F23" s="2"/>
      <c r="G23" s="2"/>
      <c r="H23" s="2"/>
      <c r="I23" s="2"/>
      <c r="J23" s="2" t="s">
        <v>178</v>
      </c>
      <c r="K23" s="3">
        <v>0</v>
      </c>
      <c r="L23" s="3">
        <v>0</v>
      </c>
      <c r="M23" s="2"/>
      <c r="N23" s="2" t="s">
        <v>194</v>
      </c>
      <c r="O23" s="2"/>
      <c r="P23" s="2"/>
      <c r="Q23" s="2"/>
      <c r="R23" s="3">
        <v>150</v>
      </c>
    </row>
    <row r="24" spans="1:18">
      <c r="A24" s="2" t="s">
        <v>212</v>
      </c>
      <c r="B24" s="2" t="s">
        <v>173</v>
      </c>
      <c r="C24" s="2" t="s">
        <v>174</v>
      </c>
      <c r="D24" s="2" t="s">
        <v>213</v>
      </c>
      <c r="E24" s="2" t="s">
        <v>188</v>
      </c>
      <c r="F24" s="2"/>
      <c r="G24" s="2"/>
      <c r="H24" s="2"/>
      <c r="I24" s="2"/>
      <c r="J24" s="2" t="s">
        <v>178</v>
      </c>
      <c r="K24" s="3">
        <v>0</v>
      </c>
      <c r="L24" s="3">
        <v>0</v>
      </c>
      <c r="M24" s="2"/>
      <c r="N24" s="2" t="s">
        <v>194</v>
      </c>
      <c r="O24" s="2"/>
      <c r="P24" s="2"/>
      <c r="Q24" s="2"/>
      <c r="R24" s="3">
        <v>150</v>
      </c>
    </row>
    <row r="25" spans="1:18">
      <c r="A25" s="2" t="s">
        <v>214</v>
      </c>
      <c r="B25" s="2" t="s">
        <v>173</v>
      </c>
      <c r="C25" s="2" t="s">
        <v>174</v>
      </c>
      <c r="D25" s="2" t="s">
        <v>215</v>
      </c>
      <c r="E25" s="2" t="s">
        <v>188</v>
      </c>
      <c r="F25" s="2"/>
      <c r="G25" s="2"/>
      <c r="H25" s="2"/>
      <c r="I25" s="2"/>
      <c r="J25" s="2" t="s">
        <v>178</v>
      </c>
      <c r="K25" s="3">
        <v>0</v>
      </c>
      <c r="L25" s="3">
        <v>0</v>
      </c>
      <c r="M25" s="2"/>
      <c r="N25" s="2" t="s">
        <v>194</v>
      </c>
      <c r="O25" s="2"/>
      <c r="P25" s="2"/>
      <c r="Q25" s="2"/>
      <c r="R25" s="3">
        <v>150</v>
      </c>
    </row>
    <row r="26" spans="1:18">
      <c r="A26" s="2" t="s">
        <v>216</v>
      </c>
      <c r="B26" s="2" t="s">
        <v>173</v>
      </c>
      <c r="C26" s="2" t="s">
        <v>174</v>
      </c>
      <c r="D26" s="2" t="s">
        <v>217</v>
      </c>
      <c r="E26" s="2" t="s">
        <v>188</v>
      </c>
      <c r="F26" s="2"/>
      <c r="G26" s="2"/>
      <c r="H26" s="2"/>
      <c r="I26" s="2"/>
      <c r="J26" s="2" t="s">
        <v>178</v>
      </c>
      <c r="K26" s="3">
        <v>0</v>
      </c>
      <c r="L26" s="3">
        <v>0</v>
      </c>
      <c r="M26" s="2"/>
      <c r="N26" s="2" t="s">
        <v>194</v>
      </c>
      <c r="O26" s="2"/>
      <c r="P26" s="2"/>
      <c r="Q26" s="2"/>
      <c r="R26" s="3">
        <v>150</v>
      </c>
    </row>
    <row r="27" spans="1:18">
      <c r="A27" s="2" t="s">
        <v>218</v>
      </c>
      <c r="B27" s="2" t="s">
        <v>173</v>
      </c>
      <c r="C27" s="2" t="s">
        <v>174</v>
      </c>
      <c r="D27" s="2" t="s">
        <v>219</v>
      </c>
      <c r="E27" s="2" t="s">
        <v>220</v>
      </c>
      <c r="F27" s="2"/>
      <c r="G27" s="2"/>
      <c r="H27" s="2"/>
      <c r="I27" s="2"/>
      <c r="J27" s="2" t="s">
        <v>178</v>
      </c>
      <c r="K27" s="3">
        <v>0</v>
      </c>
      <c r="L27" s="3">
        <v>0</v>
      </c>
      <c r="M27" s="2"/>
      <c r="N27" s="2" t="s">
        <v>221</v>
      </c>
      <c r="O27" s="2"/>
      <c r="P27" s="2"/>
      <c r="Q27" s="2"/>
      <c r="R27" s="3">
        <v>150</v>
      </c>
    </row>
    <row r="28" spans="1:18">
      <c r="A28" s="2" t="s">
        <v>222</v>
      </c>
      <c r="B28" s="2" t="s">
        <v>173</v>
      </c>
      <c r="C28" s="2" t="s">
        <v>174</v>
      </c>
      <c r="D28" s="2" t="s">
        <v>219</v>
      </c>
      <c r="E28" s="2" t="s">
        <v>220</v>
      </c>
      <c r="F28" s="2"/>
      <c r="G28" s="2"/>
      <c r="H28" s="2"/>
      <c r="I28" s="2"/>
      <c r="J28" s="2" t="s">
        <v>178</v>
      </c>
      <c r="K28" s="3">
        <v>0</v>
      </c>
      <c r="L28" s="3">
        <v>0</v>
      </c>
      <c r="M28" s="2"/>
      <c r="N28" s="2" t="s">
        <v>221</v>
      </c>
      <c r="O28" s="2"/>
      <c r="P28" s="2"/>
      <c r="Q28" s="2"/>
      <c r="R28" s="3">
        <v>150</v>
      </c>
    </row>
    <row r="29" spans="1:18">
      <c r="A29" s="2" t="s">
        <v>223</v>
      </c>
      <c r="B29" s="2" t="s">
        <v>173</v>
      </c>
      <c r="C29" s="2" t="s">
        <v>174</v>
      </c>
      <c r="D29" s="2" t="s">
        <v>219</v>
      </c>
      <c r="E29" s="2" t="s">
        <v>220</v>
      </c>
      <c r="F29" s="2"/>
      <c r="G29" s="2"/>
      <c r="H29" s="2"/>
      <c r="I29" s="2"/>
      <c r="J29" s="2" t="s">
        <v>178</v>
      </c>
      <c r="K29" s="3">
        <v>0</v>
      </c>
      <c r="L29" s="3">
        <v>0</v>
      </c>
      <c r="M29" s="2"/>
      <c r="N29" s="2" t="s">
        <v>221</v>
      </c>
      <c r="O29" s="2"/>
      <c r="P29" s="2"/>
      <c r="Q29" s="2"/>
      <c r="R29" s="3">
        <v>150</v>
      </c>
    </row>
    <row r="30" spans="1:18">
      <c r="A30" s="2" t="s">
        <v>224</v>
      </c>
      <c r="B30" s="2" t="s">
        <v>173</v>
      </c>
      <c r="C30" s="2" t="s">
        <v>174</v>
      </c>
      <c r="D30" s="2" t="s">
        <v>219</v>
      </c>
      <c r="E30" s="2" t="s">
        <v>220</v>
      </c>
      <c r="F30" s="2"/>
      <c r="G30" s="2"/>
      <c r="H30" s="2"/>
      <c r="I30" s="2"/>
      <c r="J30" s="2" t="s">
        <v>178</v>
      </c>
      <c r="K30" s="3">
        <v>0</v>
      </c>
      <c r="L30" s="3">
        <v>0</v>
      </c>
      <c r="M30" s="2"/>
      <c r="N30" s="2" t="s">
        <v>221</v>
      </c>
      <c r="O30" s="2"/>
      <c r="P30" s="2"/>
      <c r="Q30" s="2"/>
      <c r="R30" s="3">
        <v>150</v>
      </c>
    </row>
    <row r="31" spans="1:18">
      <c r="A31" s="2" t="s">
        <v>225</v>
      </c>
      <c r="B31" s="2" t="s">
        <v>173</v>
      </c>
      <c r="C31" s="2" t="s">
        <v>174</v>
      </c>
      <c r="D31" s="2" t="s">
        <v>219</v>
      </c>
      <c r="E31" s="2" t="s">
        <v>220</v>
      </c>
      <c r="F31" s="2"/>
      <c r="G31" s="2"/>
      <c r="H31" s="2"/>
      <c r="I31" s="2"/>
      <c r="J31" s="2" t="s">
        <v>178</v>
      </c>
      <c r="K31" s="3">
        <v>0</v>
      </c>
      <c r="L31" s="3">
        <v>0</v>
      </c>
      <c r="M31" s="2"/>
      <c r="N31" s="2" t="s">
        <v>221</v>
      </c>
      <c r="O31" s="2"/>
      <c r="P31" s="2"/>
      <c r="Q31" s="2"/>
      <c r="R31" s="3">
        <v>150</v>
      </c>
    </row>
    <row r="32" spans="1:18">
      <c r="A32" s="2" t="s">
        <v>226</v>
      </c>
      <c r="B32" s="2" t="s">
        <v>173</v>
      </c>
      <c r="C32" s="2" t="s">
        <v>174</v>
      </c>
      <c r="D32" s="2" t="s">
        <v>219</v>
      </c>
      <c r="E32" s="2" t="s">
        <v>220</v>
      </c>
      <c r="F32" s="2"/>
      <c r="G32" s="2"/>
      <c r="H32" s="2"/>
      <c r="I32" s="2"/>
      <c r="J32" s="2" t="s">
        <v>178</v>
      </c>
      <c r="K32" s="3">
        <v>0</v>
      </c>
      <c r="L32" s="3">
        <v>0</v>
      </c>
      <c r="M32" s="2"/>
      <c r="N32" s="2" t="s">
        <v>221</v>
      </c>
      <c r="O32" s="2"/>
      <c r="P32" s="2"/>
      <c r="Q32" s="2"/>
      <c r="R32" s="3">
        <v>150</v>
      </c>
    </row>
    <row r="33" spans="1:18">
      <c r="A33" s="2" t="s">
        <v>227</v>
      </c>
      <c r="B33" s="2" t="s">
        <v>173</v>
      </c>
      <c r="C33" s="2" t="s">
        <v>174</v>
      </c>
      <c r="D33" s="2" t="s">
        <v>219</v>
      </c>
      <c r="E33" s="2" t="s">
        <v>220</v>
      </c>
      <c r="F33" s="2"/>
      <c r="G33" s="2"/>
      <c r="H33" s="2"/>
      <c r="I33" s="2"/>
      <c r="J33" s="2" t="s">
        <v>178</v>
      </c>
      <c r="K33" s="3">
        <v>0</v>
      </c>
      <c r="L33" s="3">
        <v>0</v>
      </c>
      <c r="M33" s="2"/>
      <c r="N33" s="2" t="s">
        <v>221</v>
      </c>
      <c r="O33" s="2"/>
      <c r="P33" s="2"/>
      <c r="Q33" s="2"/>
      <c r="R33" s="3">
        <v>150</v>
      </c>
    </row>
    <row r="34" spans="1:18">
      <c r="A34" s="2" t="s">
        <v>228</v>
      </c>
      <c r="B34" s="2" t="s">
        <v>173</v>
      </c>
      <c r="C34" s="2" t="s">
        <v>174</v>
      </c>
      <c r="D34" s="2" t="s">
        <v>219</v>
      </c>
      <c r="E34" s="2" t="s">
        <v>220</v>
      </c>
      <c r="F34" s="2"/>
      <c r="G34" s="2"/>
      <c r="H34" s="2"/>
      <c r="I34" s="2"/>
      <c r="J34" s="2" t="s">
        <v>178</v>
      </c>
      <c r="K34" s="3">
        <v>0</v>
      </c>
      <c r="L34" s="3">
        <v>0</v>
      </c>
      <c r="M34" s="2"/>
      <c r="N34" s="2" t="s">
        <v>221</v>
      </c>
      <c r="O34" s="2"/>
      <c r="P34" s="2"/>
      <c r="Q34" s="2"/>
      <c r="R34" s="3">
        <v>150</v>
      </c>
    </row>
    <row r="35" spans="1:18">
      <c r="A35" s="2" t="s">
        <v>229</v>
      </c>
      <c r="B35" s="2" t="s">
        <v>173</v>
      </c>
      <c r="C35" s="2" t="s">
        <v>174</v>
      </c>
      <c r="D35" s="2" t="s">
        <v>219</v>
      </c>
      <c r="E35" s="2" t="s">
        <v>220</v>
      </c>
      <c r="F35" s="2"/>
      <c r="G35" s="2"/>
      <c r="H35" s="2"/>
      <c r="I35" s="2"/>
      <c r="J35" s="2" t="s">
        <v>178</v>
      </c>
      <c r="K35" s="3">
        <v>0</v>
      </c>
      <c r="L35" s="3">
        <v>0</v>
      </c>
      <c r="M35" s="2"/>
      <c r="N35" s="2" t="s">
        <v>221</v>
      </c>
      <c r="O35" s="2"/>
      <c r="P35" s="2"/>
      <c r="Q35" s="2"/>
      <c r="R35" s="3">
        <v>150</v>
      </c>
    </row>
  </sheetData>
  <autoFilter ref="A1:R35"/>
  <conditionalFormatting sqref="J2:J501">
    <cfRule type="containsText" dxfId="0" priority="1" operator="containsText" text="Won/Paid">
      <formula>NOT(ISERROR(SEARCH("Won/Paid",J2)))</formula>
    </cfRule>
    <cfRule type="containsText" dxfId="1" priority="2" operator="containsText" text="Do Not Contact">
      <formula>NOT(ISERROR(SEARCH("Do Not Contact",J2)))</formula>
    </cfRule>
  </conditionalFormatting>
  <dataValidations count="1">
    <dataValidation type="list" allowBlank="1" showInputMessage="1" showErrorMessage="1" sqref="J2:J501">
      <formula1>"Contact Ready,Contacted,Replied,Negotiating,Won/Paid,Fulfilled,Follow-up,Lost/Not a Fit,Do Not Contact,Reverify"</formula1>
    </dataValidation>
  </dataValidations>
  <hyperlinks>
    <hyperlink ref="Q2" r:id="rId1"/>
    <hyperlink ref="Q3" r:id="rId2"/>
    <hyperlink ref="Q4" r:id="rId3"/>
    <hyperlink ref="Q5" r:id="rId4"/>
    <hyperlink ref="Q6" r:id="rId5"/>
    <hyperlink ref="Q7" r:id="rId6"/>
    <hyperlink ref="Q8" r:id="rId7"/>
    <hyperlink ref="Q9" r:id="rId8"/>
    <hyperlink ref="Q10" r:id="rId9"/>
    <hyperlink ref="Q11" r:id="rId10"/>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L27"/>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44.7109375" customWidth="1"/>
    <col min="4" max="4" width="24.7109375" customWidth="1"/>
    <col min="5" max="5" width="44.7109375" customWidth="1"/>
    <col min="6" max="6" width="24.7109375" customWidth="1"/>
    <col min="7" max="7" width="44.7109375" customWidth="1"/>
    <col min="8" max="8" width="36.7109375" customWidth="1"/>
    <col min="9" max="9" width="18.7109375" customWidth="1"/>
    <col min="10" max="10" width="66.7109375" customWidth="1"/>
    <col min="11" max="11" width="12.7109375" customWidth="1"/>
    <col min="12" max="12" width="14.7109375" customWidth="1"/>
  </cols>
  <sheetData>
    <row r="1" spans="1:12">
      <c r="A1" s="1" t="s">
        <v>1</v>
      </c>
      <c r="B1" s="1" t="s">
        <v>158</v>
      </c>
      <c r="C1" s="1" t="s">
        <v>230</v>
      </c>
      <c r="D1" s="1" t="s">
        <v>160</v>
      </c>
      <c r="E1" s="1" t="s">
        <v>231</v>
      </c>
      <c r="F1" s="1" t="s">
        <v>162</v>
      </c>
      <c r="G1" s="1" t="s">
        <v>232</v>
      </c>
      <c r="H1" s="1" t="s">
        <v>163</v>
      </c>
      <c r="I1" s="1" t="s">
        <v>116</v>
      </c>
      <c r="J1" s="1" t="s">
        <v>167</v>
      </c>
      <c r="K1" s="1" t="s">
        <v>165</v>
      </c>
      <c r="L1" s="1" t="s">
        <v>166</v>
      </c>
    </row>
    <row r="2" spans="1:12">
      <c r="A2" s="2" t="s">
        <v>180</v>
      </c>
      <c r="B2" s="2" t="s">
        <v>181</v>
      </c>
      <c r="C2" s="2" t="s">
        <v>233</v>
      </c>
      <c r="D2" s="2" t="s">
        <v>183</v>
      </c>
      <c r="E2" s="2" t="s">
        <v>234</v>
      </c>
      <c r="F2" s="2" t="s">
        <v>184</v>
      </c>
      <c r="G2" s="2" t="s">
        <v>235</v>
      </c>
      <c r="H2" s="2"/>
      <c r="I2" s="2" t="s">
        <v>178</v>
      </c>
      <c r="J2" s="2" t="s">
        <v>185</v>
      </c>
      <c r="K2" s="3">
        <v>0</v>
      </c>
      <c r="L2" s="2"/>
    </row>
    <row r="3" spans="1:12">
      <c r="A3" s="2" t="s">
        <v>216</v>
      </c>
      <c r="B3" s="2" t="s">
        <v>217</v>
      </c>
      <c r="C3" s="2" t="s">
        <v>236</v>
      </c>
      <c r="D3" s="2"/>
      <c r="E3" s="2"/>
      <c r="F3" s="2"/>
      <c r="G3" s="2"/>
      <c r="H3" s="2"/>
      <c r="I3" s="2" t="s">
        <v>178</v>
      </c>
      <c r="J3" s="2" t="s">
        <v>194</v>
      </c>
      <c r="K3" s="3">
        <v>0</v>
      </c>
      <c r="L3" s="2"/>
    </row>
    <row r="4" spans="1:12">
      <c r="A4" s="2" t="s">
        <v>190</v>
      </c>
      <c r="B4" s="2" t="s">
        <v>191</v>
      </c>
      <c r="C4" s="2" t="s">
        <v>237</v>
      </c>
      <c r="D4" s="2"/>
      <c r="E4" s="2"/>
      <c r="F4" s="2"/>
      <c r="G4" s="2"/>
      <c r="H4" s="2"/>
      <c r="I4" s="2" t="s">
        <v>178</v>
      </c>
      <c r="J4" s="2" t="s">
        <v>189</v>
      </c>
      <c r="K4" s="3">
        <v>0</v>
      </c>
      <c r="L4" s="2"/>
    </row>
    <row r="5" spans="1:12">
      <c r="A5" s="2" t="s">
        <v>206</v>
      </c>
      <c r="B5" s="2" t="s">
        <v>207</v>
      </c>
      <c r="C5" s="2" t="s">
        <v>238</v>
      </c>
      <c r="D5" s="2" t="s">
        <v>208</v>
      </c>
      <c r="E5" s="2" t="s">
        <v>239</v>
      </c>
      <c r="F5" s="2"/>
      <c r="G5" s="2"/>
      <c r="H5" s="2"/>
      <c r="I5" s="2" t="s">
        <v>178</v>
      </c>
      <c r="J5" s="2" t="s">
        <v>209</v>
      </c>
      <c r="K5" s="3">
        <v>0</v>
      </c>
      <c r="L5" s="2"/>
    </row>
    <row r="6" spans="1:12">
      <c r="A6" s="2" t="s">
        <v>214</v>
      </c>
      <c r="B6" s="2" t="s">
        <v>215</v>
      </c>
      <c r="C6" s="2" t="s">
        <v>240</v>
      </c>
      <c r="D6" s="2"/>
      <c r="E6" s="2"/>
      <c r="F6" s="2"/>
      <c r="G6" s="2"/>
      <c r="H6" s="2"/>
      <c r="I6" s="2" t="s">
        <v>178</v>
      </c>
      <c r="J6" s="2" t="s">
        <v>194</v>
      </c>
      <c r="K6" s="3">
        <v>0</v>
      </c>
      <c r="L6" s="2"/>
    </row>
    <row r="7" spans="1:12">
      <c r="A7" s="2" t="s">
        <v>212</v>
      </c>
      <c r="B7" s="2" t="s">
        <v>213</v>
      </c>
      <c r="C7" s="2" t="s">
        <v>241</v>
      </c>
      <c r="D7" s="2"/>
      <c r="E7" s="2"/>
      <c r="F7" s="2"/>
      <c r="G7" s="2"/>
      <c r="H7" s="2"/>
      <c r="I7" s="2" t="s">
        <v>178</v>
      </c>
      <c r="J7" s="2" t="s">
        <v>194</v>
      </c>
      <c r="K7" s="3">
        <v>0</v>
      </c>
      <c r="L7" s="2"/>
    </row>
    <row r="8" spans="1:12">
      <c r="A8" s="2" t="s">
        <v>186</v>
      </c>
      <c r="B8" s="2" t="s">
        <v>187</v>
      </c>
      <c r="C8" s="2" t="s">
        <v>242</v>
      </c>
      <c r="D8" s="2"/>
      <c r="E8" s="2"/>
      <c r="F8" s="2"/>
      <c r="G8" s="2"/>
      <c r="H8" s="2"/>
      <c r="I8" s="2" t="s">
        <v>178</v>
      </c>
      <c r="J8" s="2" t="s">
        <v>189</v>
      </c>
      <c r="K8" s="3">
        <v>0</v>
      </c>
      <c r="L8" s="2"/>
    </row>
    <row r="9" spans="1:12">
      <c r="A9" s="2" t="s">
        <v>172</v>
      </c>
      <c r="B9" s="2" t="s">
        <v>175</v>
      </c>
      <c r="C9" s="2" t="s">
        <v>243</v>
      </c>
      <c r="D9" s="2" t="s">
        <v>177</v>
      </c>
      <c r="E9" s="2" t="s">
        <v>244</v>
      </c>
      <c r="F9" s="2"/>
      <c r="G9" s="2"/>
      <c r="H9" s="2"/>
      <c r="I9" s="2" t="s">
        <v>178</v>
      </c>
      <c r="J9" s="2" t="s">
        <v>179</v>
      </c>
      <c r="K9" s="3">
        <v>0</v>
      </c>
      <c r="L9" s="2"/>
    </row>
    <row r="10" spans="1:12">
      <c r="A10" s="2" t="s">
        <v>192</v>
      </c>
      <c r="B10" s="2" t="s">
        <v>193</v>
      </c>
      <c r="C10" s="2" t="s">
        <v>245</v>
      </c>
      <c r="D10" s="2"/>
      <c r="E10" s="2"/>
      <c r="F10" s="2"/>
      <c r="G10" s="2"/>
      <c r="H10" s="2"/>
      <c r="I10" s="2" t="s">
        <v>178</v>
      </c>
      <c r="J10" s="2" t="s">
        <v>194</v>
      </c>
      <c r="K10" s="3">
        <v>0</v>
      </c>
      <c r="L10" s="2"/>
    </row>
    <row r="11" spans="1:12">
      <c r="A11" s="2" t="s">
        <v>210</v>
      </c>
      <c r="B11" s="2" t="s">
        <v>211</v>
      </c>
      <c r="C11" s="2" t="s">
        <v>246</v>
      </c>
      <c r="D11" s="2"/>
      <c r="E11" s="2"/>
      <c r="F11" s="2"/>
      <c r="G11" s="2"/>
      <c r="H11" s="2"/>
      <c r="I11" s="2" t="s">
        <v>178</v>
      </c>
      <c r="J11" s="2" t="s">
        <v>194</v>
      </c>
      <c r="K11" s="3">
        <v>0</v>
      </c>
      <c r="L11" s="2"/>
    </row>
    <row r="12" spans="1:12">
      <c r="A12" s="2" t="s">
        <v>247</v>
      </c>
      <c r="B12" s="2" t="s">
        <v>248</v>
      </c>
      <c r="C12" s="2" t="s">
        <v>249</v>
      </c>
      <c r="D12" s="2"/>
      <c r="E12" s="2"/>
      <c r="F12" s="2"/>
      <c r="G12" s="2"/>
      <c r="H12" s="2"/>
      <c r="I12" s="2" t="s">
        <v>178</v>
      </c>
      <c r="J12" s="2" t="s">
        <v>250</v>
      </c>
      <c r="K12" s="3">
        <v>0</v>
      </c>
      <c r="L12" s="2"/>
    </row>
    <row r="13" spans="1:12">
      <c r="A13" s="2" t="s">
        <v>200</v>
      </c>
      <c r="B13" s="2" t="s">
        <v>201</v>
      </c>
      <c r="C13" s="2" t="s">
        <v>251</v>
      </c>
      <c r="D13" s="2"/>
      <c r="E13" s="2"/>
      <c r="F13" s="2"/>
      <c r="G13" s="2"/>
      <c r="H13" s="2"/>
      <c r="I13" s="2" t="s">
        <v>178</v>
      </c>
      <c r="J13" s="2" t="s">
        <v>194</v>
      </c>
      <c r="K13" s="3">
        <v>0</v>
      </c>
      <c r="L13" s="2"/>
    </row>
    <row r="14" spans="1:12">
      <c r="A14" s="2" t="s">
        <v>195</v>
      </c>
      <c r="B14" s="2" t="s">
        <v>196</v>
      </c>
      <c r="C14" s="2" t="s">
        <v>252</v>
      </c>
      <c r="D14" s="2"/>
      <c r="E14" s="2"/>
      <c r="F14" s="2"/>
      <c r="G14" s="2"/>
      <c r="H14" s="2"/>
      <c r="I14" s="2" t="s">
        <v>178</v>
      </c>
      <c r="J14" s="2" t="s">
        <v>194</v>
      </c>
      <c r="K14" s="3">
        <v>0</v>
      </c>
      <c r="L14" s="2"/>
    </row>
    <row r="15" spans="1:12">
      <c r="A15" s="2" t="s">
        <v>202</v>
      </c>
      <c r="B15" s="2" t="s">
        <v>203</v>
      </c>
      <c r="C15" s="2" t="s">
        <v>253</v>
      </c>
      <c r="D15" s="2"/>
      <c r="E15" s="2"/>
      <c r="F15" s="2"/>
      <c r="G15" s="2"/>
      <c r="H15" s="2"/>
      <c r="I15" s="2" t="s">
        <v>178</v>
      </c>
      <c r="J15" s="2" t="s">
        <v>194</v>
      </c>
      <c r="K15" s="3">
        <v>0</v>
      </c>
      <c r="L15" s="2"/>
    </row>
    <row r="16" spans="1:12">
      <c r="A16" s="2" t="s">
        <v>204</v>
      </c>
      <c r="B16" s="2" t="s">
        <v>205</v>
      </c>
      <c r="C16" s="2" t="s">
        <v>254</v>
      </c>
      <c r="D16" s="2"/>
      <c r="E16" s="2"/>
      <c r="F16" s="2"/>
      <c r="G16" s="2"/>
      <c r="H16" s="2"/>
      <c r="I16" s="2" t="s">
        <v>178</v>
      </c>
      <c r="J16" s="2" t="s">
        <v>194</v>
      </c>
      <c r="K16" s="3">
        <v>0</v>
      </c>
      <c r="L16" s="2"/>
    </row>
    <row r="17" spans="1:12">
      <c r="A17" s="2" t="s">
        <v>198</v>
      </c>
      <c r="B17" s="2" t="s">
        <v>199</v>
      </c>
      <c r="C17" s="2" t="s">
        <v>255</v>
      </c>
      <c r="D17" s="2"/>
      <c r="E17" s="2"/>
      <c r="F17" s="2"/>
      <c r="G17" s="2"/>
      <c r="H17" s="2"/>
      <c r="I17" s="2" t="s">
        <v>178</v>
      </c>
      <c r="J17" s="2" t="s">
        <v>194</v>
      </c>
      <c r="K17" s="3">
        <v>0</v>
      </c>
      <c r="L17" s="2"/>
    </row>
    <row r="18" spans="1:12">
      <c r="A18" s="2" t="s">
        <v>218</v>
      </c>
      <c r="B18" s="2" t="s">
        <v>219</v>
      </c>
      <c r="C18" s="2" t="s">
        <v>256</v>
      </c>
      <c r="D18" s="2"/>
      <c r="E18" s="2"/>
      <c r="F18" s="2"/>
      <c r="G18" s="2"/>
      <c r="H18" s="2"/>
      <c r="I18" s="2" t="s">
        <v>178</v>
      </c>
      <c r="J18" s="2" t="s">
        <v>221</v>
      </c>
      <c r="K18" s="3">
        <v>0</v>
      </c>
      <c r="L18" s="2"/>
    </row>
    <row r="19" spans="1:12">
      <c r="A19" s="2" t="s">
        <v>222</v>
      </c>
      <c r="B19" s="2" t="s">
        <v>219</v>
      </c>
      <c r="C19" s="2" t="s">
        <v>257</v>
      </c>
      <c r="D19" s="2"/>
      <c r="E19" s="2"/>
      <c r="F19" s="2"/>
      <c r="G19" s="2"/>
      <c r="H19" s="2"/>
      <c r="I19" s="2" t="s">
        <v>178</v>
      </c>
      <c r="J19" s="2" t="s">
        <v>221</v>
      </c>
      <c r="K19" s="3">
        <v>0</v>
      </c>
      <c r="L19" s="2"/>
    </row>
    <row r="20" spans="1:12">
      <c r="A20" s="2" t="s">
        <v>223</v>
      </c>
      <c r="B20" s="2" t="s">
        <v>219</v>
      </c>
      <c r="C20" s="2" t="s">
        <v>258</v>
      </c>
      <c r="D20" s="2"/>
      <c r="E20" s="2"/>
      <c r="F20" s="2"/>
      <c r="G20" s="2"/>
      <c r="H20" s="2"/>
      <c r="I20" s="2" t="s">
        <v>178</v>
      </c>
      <c r="J20" s="2" t="s">
        <v>221</v>
      </c>
      <c r="K20" s="3">
        <v>0</v>
      </c>
      <c r="L20" s="2"/>
    </row>
    <row r="21" spans="1:12">
      <c r="A21" s="2" t="s">
        <v>224</v>
      </c>
      <c r="B21" s="2" t="s">
        <v>219</v>
      </c>
      <c r="C21" s="2" t="s">
        <v>259</v>
      </c>
      <c r="D21" s="2"/>
      <c r="E21" s="2"/>
      <c r="F21" s="2"/>
      <c r="G21" s="2"/>
      <c r="H21" s="2"/>
      <c r="I21" s="2" t="s">
        <v>178</v>
      </c>
      <c r="J21" s="2" t="s">
        <v>221</v>
      </c>
      <c r="K21" s="3">
        <v>0</v>
      </c>
      <c r="L21" s="2"/>
    </row>
    <row r="22" spans="1:12">
      <c r="A22" s="2" t="s">
        <v>225</v>
      </c>
      <c r="B22" s="2" t="s">
        <v>219</v>
      </c>
      <c r="C22" s="2" t="s">
        <v>260</v>
      </c>
      <c r="D22" s="2"/>
      <c r="E22" s="2"/>
      <c r="F22" s="2"/>
      <c r="G22" s="2"/>
      <c r="H22" s="2"/>
      <c r="I22" s="2" t="s">
        <v>178</v>
      </c>
      <c r="J22" s="2" t="s">
        <v>221</v>
      </c>
      <c r="K22" s="3">
        <v>0</v>
      </c>
      <c r="L22" s="2"/>
    </row>
    <row r="23" spans="1:12">
      <c r="A23" s="2" t="s">
        <v>226</v>
      </c>
      <c r="B23" s="2" t="s">
        <v>219</v>
      </c>
      <c r="C23" s="2" t="s">
        <v>261</v>
      </c>
      <c r="D23" s="2"/>
      <c r="E23" s="2"/>
      <c r="F23" s="2"/>
      <c r="G23" s="2"/>
      <c r="H23" s="2"/>
      <c r="I23" s="2" t="s">
        <v>178</v>
      </c>
      <c r="J23" s="2" t="s">
        <v>221</v>
      </c>
      <c r="K23" s="3">
        <v>0</v>
      </c>
      <c r="L23" s="2"/>
    </row>
    <row r="24" spans="1:12">
      <c r="A24" s="2" t="s">
        <v>227</v>
      </c>
      <c r="B24" s="2" t="s">
        <v>219</v>
      </c>
      <c r="C24" s="2" t="s">
        <v>262</v>
      </c>
      <c r="D24" s="2"/>
      <c r="E24" s="2"/>
      <c r="F24" s="2"/>
      <c r="G24" s="2"/>
      <c r="H24" s="2"/>
      <c r="I24" s="2" t="s">
        <v>178</v>
      </c>
      <c r="J24" s="2" t="s">
        <v>221</v>
      </c>
      <c r="K24" s="3">
        <v>0</v>
      </c>
      <c r="L24" s="2"/>
    </row>
    <row r="25" spans="1:12">
      <c r="A25" s="2" t="s">
        <v>228</v>
      </c>
      <c r="B25" s="2" t="s">
        <v>219</v>
      </c>
      <c r="C25" s="2" t="s">
        <v>263</v>
      </c>
      <c r="D25" s="2"/>
      <c r="E25" s="2"/>
      <c r="F25" s="2"/>
      <c r="G25" s="2"/>
      <c r="H25" s="2"/>
      <c r="I25" s="2" t="s">
        <v>178</v>
      </c>
      <c r="J25" s="2" t="s">
        <v>221</v>
      </c>
      <c r="K25" s="3">
        <v>0</v>
      </c>
      <c r="L25" s="2"/>
    </row>
    <row r="26" spans="1:12">
      <c r="A26" s="2" t="s">
        <v>229</v>
      </c>
      <c r="B26" s="2" t="s">
        <v>219</v>
      </c>
      <c r="C26" s="2" t="s">
        <v>264</v>
      </c>
      <c r="D26" s="2"/>
      <c r="E26" s="2"/>
      <c r="F26" s="2"/>
      <c r="G26" s="2"/>
      <c r="H26" s="2"/>
      <c r="I26" s="2" t="s">
        <v>178</v>
      </c>
      <c r="J26" s="2" t="s">
        <v>221</v>
      </c>
      <c r="K26" s="3">
        <v>0</v>
      </c>
      <c r="L26" s="2"/>
    </row>
    <row r="27" spans="1:12">
      <c r="A27" s="2" t="s">
        <v>265</v>
      </c>
      <c r="B27" s="2" t="s">
        <v>219</v>
      </c>
      <c r="C27" s="2" t="s">
        <v>266</v>
      </c>
      <c r="D27" s="2"/>
      <c r="E27" s="2"/>
      <c r="F27" s="2"/>
      <c r="G27" s="2"/>
      <c r="H27" s="2"/>
      <c r="I27" s="2" t="s">
        <v>267</v>
      </c>
      <c r="J27" s="2" t="s">
        <v>268</v>
      </c>
      <c r="K27" s="3">
        <v>0</v>
      </c>
      <c r="L2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I22"/>
  <sheetViews>
    <sheetView workbookViewId="0">
      <pane ySplit="1" topLeftCell="A2" activePane="bottomLeft" state="frozen"/>
      <selection pane="bottomLeft"/>
    </sheetView>
  </sheetViews>
  <sheetFormatPr defaultRowHeight="15"/>
  <cols>
    <col min="1" max="1" width="32.7109375" customWidth="1"/>
    <col min="2" max="2" width="18.7109375" customWidth="1"/>
    <col min="3" max="3" width="24.7109375" customWidth="1"/>
    <col min="4" max="4" width="34.7109375" customWidth="1"/>
    <col min="5" max="6" width="12.7109375" customWidth="1"/>
    <col min="7" max="7" width="14.7109375" customWidth="1"/>
    <col min="8" max="8" width="12.7109375" customWidth="1"/>
    <col min="9" max="9" width="64.7109375" customWidth="1"/>
  </cols>
  <sheetData>
    <row r="1" spans="1:9">
      <c r="A1" s="4" t="s">
        <v>1</v>
      </c>
      <c r="B1" s="4" t="s">
        <v>116</v>
      </c>
      <c r="C1" s="4" t="s">
        <v>158</v>
      </c>
      <c r="D1" s="4" t="s">
        <v>163</v>
      </c>
      <c r="E1" s="4" t="s">
        <v>164</v>
      </c>
      <c r="F1" s="4" t="s">
        <v>165</v>
      </c>
      <c r="G1" s="4" t="s">
        <v>269</v>
      </c>
      <c r="H1" s="4" t="s">
        <v>168</v>
      </c>
      <c r="I1" s="4" t="s">
        <v>167</v>
      </c>
    </row>
    <row r="2" spans="1:9">
      <c r="A2" s="2" t="s">
        <v>270</v>
      </c>
      <c r="B2" s="2" t="s">
        <v>27</v>
      </c>
      <c r="C2" s="2"/>
      <c r="D2" s="2"/>
      <c r="E2" s="3">
        <v>0</v>
      </c>
      <c r="F2" s="3">
        <v>0</v>
      </c>
      <c r="G2" s="2" t="s">
        <v>271</v>
      </c>
      <c r="H2" s="2"/>
      <c r="I2" s="2" t="s">
        <v>272</v>
      </c>
    </row>
    <row r="3" spans="1:9">
      <c r="A3" s="2" t="s">
        <v>273</v>
      </c>
      <c r="B3" s="2" t="s">
        <v>27</v>
      </c>
      <c r="C3" s="2"/>
      <c r="D3" s="2"/>
      <c r="E3" s="3">
        <v>0</v>
      </c>
      <c r="F3" s="3">
        <v>0</v>
      </c>
      <c r="G3" s="2" t="s">
        <v>274</v>
      </c>
      <c r="H3" s="2"/>
      <c r="I3" s="2"/>
    </row>
    <row r="4" spans="1:9">
      <c r="A4" s="2" t="s">
        <v>275</v>
      </c>
      <c r="B4" s="2" t="s">
        <v>27</v>
      </c>
      <c r="C4" s="2"/>
      <c r="D4" s="2"/>
      <c r="E4" s="3">
        <v>0</v>
      </c>
      <c r="F4" s="3">
        <v>0</v>
      </c>
      <c r="G4" s="2" t="s">
        <v>274</v>
      </c>
      <c r="H4" s="2"/>
      <c r="I4" s="2"/>
    </row>
    <row r="5" spans="1:9">
      <c r="A5" s="2" t="s">
        <v>247</v>
      </c>
      <c r="B5" s="2" t="s">
        <v>178</v>
      </c>
      <c r="C5" s="2" t="s">
        <v>248</v>
      </c>
      <c r="D5" s="2"/>
      <c r="E5" s="3">
        <v>0</v>
      </c>
      <c r="F5" s="3">
        <v>0</v>
      </c>
      <c r="G5" s="2" t="s">
        <v>274</v>
      </c>
      <c r="H5" s="2"/>
      <c r="I5" s="2" t="s">
        <v>250</v>
      </c>
    </row>
    <row r="6" spans="1:9">
      <c r="A6" s="2" t="s">
        <v>276</v>
      </c>
      <c r="B6" s="2" t="s">
        <v>27</v>
      </c>
      <c r="C6" s="2"/>
      <c r="D6" s="2"/>
      <c r="E6" s="3">
        <v>0</v>
      </c>
      <c r="F6" s="3">
        <v>0</v>
      </c>
      <c r="G6" s="2" t="s">
        <v>274</v>
      </c>
      <c r="H6" s="2"/>
      <c r="I6" s="2"/>
    </row>
    <row r="7" spans="1:9">
      <c r="A7" s="2" t="s">
        <v>277</v>
      </c>
      <c r="B7" s="2" t="s">
        <v>27</v>
      </c>
      <c r="C7" s="2"/>
      <c r="D7" s="2"/>
      <c r="E7" s="3">
        <v>0</v>
      </c>
      <c r="F7" s="3">
        <v>0</v>
      </c>
      <c r="G7" s="2" t="s">
        <v>274</v>
      </c>
      <c r="H7" s="2"/>
      <c r="I7" s="2"/>
    </row>
    <row r="8" spans="1:9">
      <c r="A8" s="2" t="s">
        <v>278</v>
      </c>
      <c r="B8" s="2" t="s">
        <v>27</v>
      </c>
      <c r="C8" s="2"/>
      <c r="D8" s="2"/>
      <c r="E8" s="3">
        <v>0</v>
      </c>
      <c r="F8" s="3">
        <v>0</v>
      </c>
      <c r="G8" s="2" t="s">
        <v>274</v>
      </c>
      <c r="H8" s="2"/>
      <c r="I8" s="2"/>
    </row>
    <row r="9" spans="1:9">
      <c r="A9" s="2" t="s">
        <v>279</v>
      </c>
      <c r="B9" s="2" t="s">
        <v>27</v>
      </c>
      <c r="C9" s="2"/>
      <c r="D9" s="2"/>
      <c r="E9" s="3">
        <v>0</v>
      </c>
      <c r="F9" s="3">
        <v>0</v>
      </c>
      <c r="G9" s="2" t="s">
        <v>182</v>
      </c>
      <c r="H9" s="2"/>
      <c r="I9" s="2"/>
    </row>
    <row r="10" spans="1:9">
      <c r="A10" s="2" t="s">
        <v>280</v>
      </c>
      <c r="B10" s="2" t="s">
        <v>27</v>
      </c>
      <c r="C10" s="2"/>
      <c r="D10" s="2"/>
      <c r="E10" s="3">
        <v>0</v>
      </c>
      <c r="F10" s="3">
        <v>0</v>
      </c>
      <c r="G10" s="2" t="s">
        <v>197</v>
      </c>
      <c r="H10" s="2"/>
      <c r="I10" s="2" t="s">
        <v>281</v>
      </c>
    </row>
    <row r="11" spans="1:9">
      <c r="A11" s="2" t="s">
        <v>282</v>
      </c>
      <c r="B11" s="2" t="s">
        <v>27</v>
      </c>
      <c r="C11" s="2"/>
      <c r="D11" s="2"/>
      <c r="E11" s="3">
        <v>0</v>
      </c>
      <c r="F11" s="3">
        <v>0</v>
      </c>
      <c r="G11" s="2" t="s">
        <v>182</v>
      </c>
      <c r="H11" s="2"/>
      <c r="I11" s="2"/>
    </row>
    <row r="12" spans="1:9">
      <c r="A12" s="2" t="s">
        <v>283</v>
      </c>
      <c r="B12" s="2" t="s">
        <v>27</v>
      </c>
      <c r="C12" s="2"/>
      <c r="D12" s="2"/>
      <c r="E12" s="3">
        <v>0</v>
      </c>
      <c r="F12" s="3">
        <v>0</v>
      </c>
      <c r="G12" s="2" t="s">
        <v>188</v>
      </c>
      <c r="H12" s="2"/>
      <c r="I12" s="2"/>
    </row>
    <row r="13" spans="1:9">
      <c r="A13" s="2" t="s">
        <v>284</v>
      </c>
      <c r="B13" s="2" t="s">
        <v>27</v>
      </c>
      <c r="C13" s="2"/>
      <c r="D13" s="2"/>
      <c r="E13" s="3">
        <v>0</v>
      </c>
      <c r="F13" s="3">
        <v>0</v>
      </c>
      <c r="G13" s="2" t="s">
        <v>176</v>
      </c>
      <c r="H13" s="2"/>
      <c r="I13" s="2"/>
    </row>
    <row r="14" spans="1:9">
      <c r="A14" s="2" t="s">
        <v>285</v>
      </c>
      <c r="B14" s="2" t="s">
        <v>27</v>
      </c>
      <c r="C14" s="2"/>
      <c r="D14" s="2"/>
      <c r="E14" s="3">
        <v>0</v>
      </c>
      <c r="F14" s="3">
        <v>0</v>
      </c>
      <c r="G14" s="2" t="s">
        <v>271</v>
      </c>
      <c r="H14" s="2"/>
      <c r="I14" s="2" t="s">
        <v>272</v>
      </c>
    </row>
    <row r="15" spans="1:9">
      <c r="A15" s="2" t="s">
        <v>286</v>
      </c>
      <c r="B15" s="2" t="s">
        <v>27</v>
      </c>
      <c r="C15" s="2"/>
      <c r="D15" s="2"/>
      <c r="E15" s="3">
        <v>0</v>
      </c>
      <c r="F15" s="3">
        <v>0</v>
      </c>
      <c r="G15" s="2" t="s">
        <v>182</v>
      </c>
      <c r="H15" s="2"/>
      <c r="I15" s="2"/>
    </row>
    <row r="16" spans="1:9">
      <c r="A16" s="2" t="s">
        <v>287</v>
      </c>
      <c r="B16" s="2" t="s">
        <v>27</v>
      </c>
      <c r="C16" s="2"/>
      <c r="D16" s="2"/>
      <c r="E16" s="3">
        <v>0</v>
      </c>
      <c r="F16" s="3">
        <v>0</v>
      </c>
      <c r="G16" s="2" t="s">
        <v>182</v>
      </c>
      <c r="H16" s="2"/>
      <c r="I16" s="2"/>
    </row>
    <row r="17" spans="1:9">
      <c r="A17" s="2" t="s">
        <v>288</v>
      </c>
      <c r="B17" s="2" t="s">
        <v>27</v>
      </c>
      <c r="C17" s="2"/>
      <c r="D17" s="2"/>
      <c r="E17" s="3">
        <v>0</v>
      </c>
      <c r="F17" s="3">
        <v>0</v>
      </c>
      <c r="G17" s="2" t="s">
        <v>188</v>
      </c>
      <c r="H17" s="2"/>
      <c r="I17" s="2"/>
    </row>
    <row r="18" spans="1:9">
      <c r="A18" s="2" t="s">
        <v>289</v>
      </c>
      <c r="B18" s="2" t="s">
        <v>27</v>
      </c>
      <c r="C18" s="2"/>
      <c r="D18" s="2"/>
      <c r="E18" s="3">
        <v>0</v>
      </c>
      <c r="F18" s="3">
        <v>0</v>
      </c>
      <c r="G18" s="2" t="s">
        <v>271</v>
      </c>
      <c r="H18" s="2"/>
      <c r="I18" s="2" t="s">
        <v>272</v>
      </c>
    </row>
    <row r="19" spans="1:9">
      <c r="A19" s="2" t="s">
        <v>290</v>
      </c>
      <c r="B19" s="2" t="s">
        <v>27</v>
      </c>
      <c r="C19" s="2"/>
      <c r="D19" s="2"/>
      <c r="E19" s="3">
        <v>0</v>
      </c>
      <c r="F19" s="3">
        <v>0</v>
      </c>
      <c r="G19" s="2" t="s">
        <v>271</v>
      </c>
      <c r="H19" s="2"/>
      <c r="I19" s="2" t="s">
        <v>272</v>
      </c>
    </row>
    <row r="20" spans="1:9">
      <c r="A20" s="2" t="s">
        <v>291</v>
      </c>
      <c r="B20" s="2" t="s">
        <v>27</v>
      </c>
      <c r="C20" s="2"/>
      <c r="D20" s="2"/>
      <c r="E20" s="3">
        <v>0</v>
      </c>
      <c r="F20" s="3">
        <v>0</v>
      </c>
      <c r="G20" s="2" t="s">
        <v>271</v>
      </c>
      <c r="H20" s="2"/>
      <c r="I20" s="2" t="s">
        <v>272</v>
      </c>
    </row>
    <row r="21" spans="1:9">
      <c r="A21" s="2" t="s">
        <v>292</v>
      </c>
      <c r="B21" s="2" t="s">
        <v>27</v>
      </c>
      <c r="C21" s="2"/>
      <c r="D21" s="2"/>
      <c r="E21" s="3">
        <v>0</v>
      </c>
      <c r="F21" s="3">
        <v>0</v>
      </c>
      <c r="G21" s="2" t="s">
        <v>293</v>
      </c>
      <c r="H21" s="2"/>
      <c r="I21" s="2" t="s">
        <v>294</v>
      </c>
    </row>
    <row r="22" spans="1:9">
      <c r="A22" s="2" t="s">
        <v>295</v>
      </c>
      <c r="B22" s="2" t="s">
        <v>27</v>
      </c>
      <c r="C22" s="2"/>
      <c r="D22" s="2"/>
      <c r="E22" s="3">
        <v>0</v>
      </c>
      <c r="F22" s="3">
        <v>0</v>
      </c>
      <c r="G22" s="2" t="s">
        <v>271</v>
      </c>
      <c r="H22" s="2"/>
      <c r="I22" s="2" t="s">
        <v>272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F11"/>
  <sheetViews>
    <sheetView workbookViewId="0">
      <pane ySplit="1" topLeftCell="A2" activePane="bottomLeft" state="frozen"/>
      <selection pane="bottomLeft"/>
    </sheetView>
  </sheetViews>
  <sheetFormatPr defaultRowHeight="15"/>
  <cols>
    <col min="1" max="1" width="32.7109375" customWidth="1"/>
    <col min="2" max="2" width="62.7109375" customWidth="1"/>
    <col min="3" max="3" width="50.7109375" customWidth="1"/>
    <col min="4" max="4" width="14.7109375" customWidth="1"/>
    <col min="5" max="5" width="34.7109375" customWidth="1"/>
    <col min="6" max="6" width="58.7109375" customWidth="1"/>
  </cols>
  <sheetData>
    <row r="1" spans="1:6">
      <c r="A1" s="1" t="s">
        <v>1</v>
      </c>
      <c r="B1" s="1" t="s">
        <v>5</v>
      </c>
      <c r="C1" s="1" t="s">
        <v>12</v>
      </c>
      <c r="D1" s="1" t="s">
        <v>296</v>
      </c>
      <c r="E1" s="1" t="s">
        <v>297</v>
      </c>
      <c r="F1" s="1" t="s">
        <v>298</v>
      </c>
    </row>
    <row r="2" spans="1:6">
      <c r="A2" s="2" t="s">
        <v>15</v>
      </c>
      <c r="B2" s="2" t="s">
        <v>19</v>
      </c>
      <c r="C2" s="2" t="s">
        <v>25</v>
      </c>
      <c r="D2" s="2" t="s">
        <v>26</v>
      </c>
      <c r="E2" s="2" t="s">
        <v>20</v>
      </c>
      <c r="F2" s="2" t="s">
        <v>299</v>
      </c>
    </row>
    <row r="3" spans="1:6">
      <c r="A3" s="2" t="s">
        <v>28</v>
      </c>
      <c r="B3" s="2" t="s">
        <v>31</v>
      </c>
      <c r="C3" s="2" t="s">
        <v>37</v>
      </c>
      <c r="D3" s="2" t="s">
        <v>26</v>
      </c>
      <c r="E3" s="2" t="s">
        <v>32</v>
      </c>
      <c r="F3" s="2" t="s">
        <v>299</v>
      </c>
    </row>
    <row r="4" spans="1:6">
      <c r="A4" s="2" t="s">
        <v>38</v>
      </c>
      <c r="B4" s="2" t="s">
        <v>41</v>
      </c>
      <c r="C4" s="2" t="s">
        <v>47</v>
      </c>
      <c r="D4" s="2" t="s">
        <v>26</v>
      </c>
      <c r="E4" s="2" t="s">
        <v>42</v>
      </c>
      <c r="F4" s="2" t="s">
        <v>299</v>
      </c>
    </row>
    <row r="5" spans="1:6">
      <c r="A5" s="2" t="s">
        <v>48</v>
      </c>
      <c r="B5" s="2" t="s">
        <v>50</v>
      </c>
      <c r="C5" s="2" t="s">
        <v>56</v>
      </c>
      <c r="D5" s="2" t="s">
        <v>26</v>
      </c>
      <c r="E5" s="2" t="s">
        <v>51</v>
      </c>
      <c r="F5" s="2" t="s">
        <v>299</v>
      </c>
    </row>
    <row r="6" spans="1:6">
      <c r="A6" s="2" t="s">
        <v>57</v>
      </c>
      <c r="B6" s="2" t="s">
        <v>60</v>
      </c>
      <c r="C6" s="2" t="s">
        <v>66</v>
      </c>
      <c r="D6" s="2" t="s">
        <v>26</v>
      </c>
      <c r="E6" s="2" t="s">
        <v>61</v>
      </c>
      <c r="F6" s="2" t="s">
        <v>299</v>
      </c>
    </row>
    <row r="7" spans="1:6">
      <c r="A7" s="2" t="s">
        <v>67</v>
      </c>
      <c r="B7" s="2" t="s">
        <v>68</v>
      </c>
      <c r="C7" s="2" t="s">
        <v>74</v>
      </c>
      <c r="D7" s="2" t="s">
        <v>26</v>
      </c>
      <c r="E7" s="2" t="s">
        <v>69</v>
      </c>
      <c r="F7" s="2" t="s">
        <v>299</v>
      </c>
    </row>
    <row r="8" spans="1:6">
      <c r="A8" s="2" t="s">
        <v>75</v>
      </c>
      <c r="B8" s="2" t="s">
        <v>78</v>
      </c>
      <c r="C8" s="2" t="s">
        <v>84</v>
      </c>
      <c r="D8" s="2" t="s">
        <v>26</v>
      </c>
      <c r="E8" s="2" t="s">
        <v>79</v>
      </c>
      <c r="F8" s="2" t="s">
        <v>299</v>
      </c>
    </row>
    <row r="9" spans="1:6">
      <c r="A9" s="2" t="s">
        <v>85</v>
      </c>
      <c r="B9" s="2" t="s">
        <v>88</v>
      </c>
      <c r="C9" s="2" t="s">
        <v>94</v>
      </c>
      <c r="D9" s="2" t="s">
        <v>26</v>
      </c>
      <c r="E9" s="2" t="s">
        <v>89</v>
      </c>
      <c r="F9" s="2" t="s">
        <v>299</v>
      </c>
    </row>
    <row r="10" spans="1:6">
      <c r="A10" s="2" t="s">
        <v>95</v>
      </c>
      <c r="B10" s="2" t="s">
        <v>98</v>
      </c>
      <c r="C10" s="2" t="s">
        <v>104</v>
      </c>
      <c r="D10" s="2" t="s">
        <v>26</v>
      </c>
      <c r="E10" s="2" t="s">
        <v>99</v>
      </c>
      <c r="F10" s="2" t="s">
        <v>299</v>
      </c>
    </row>
    <row r="11" spans="1:6">
      <c r="A11" s="2" t="s">
        <v>105</v>
      </c>
      <c r="B11" s="2" t="s">
        <v>108</v>
      </c>
      <c r="C11" s="2" t="s">
        <v>114</v>
      </c>
      <c r="D11" s="2" t="s">
        <v>26</v>
      </c>
      <c r="E11" s="2" t="s">
        <v>109</v>
      </c>
      <c r="F11" s="2" t="s">
        <v>299</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9"/>
  <sheetViews>
    <sheetView workbookViewId="0"/>
  </sheetViews>
  <sheetFormatPr defaultRowHeight="15"/>
  <cols>
    <col min="1" max="1" width="22.7109375" customWidth="1"/>
    <col min="2" max="2" width="14.7109375" customWidth="1"/>
    <col min="3" max="3" width="4.7109375" customWidth="1"/>
    <col min="4" max="4" width="24.7109375" customWidth="1"/>
    <col min="5" max="5" width="16.7109375" customWidth="1"/>
    <col min="6" max="6" width="48.7109375" customWidth="1"/>
  </cols>
  <sheetData>
    <row r="1" spans="1:6" ht="28" customHeight="1">
      <c r="A1" s="5" t="s">
        <v>300</v>
      </c>
      <c r="B1" s="5"/>
      <c r="C1" s="5"/>
      <c r="D1" s="5"/>
      <c r="E1" s="5"/>
      <c r="F1" s="5"/>
    </row>
    <row r="3" spans="1:6">
      <c r="A3" s="1" t="s">
        <v>301</v>
      </c>
      <c r="B3" s="1" t="s">
        <v>302</v>
      </c>
      <c r="C3" s="2"/>
      <c r="D3" s="1" t="s">
        <v>303</v>
      </c>
      <c r="E3" s="1" t="s">
        <v>302</v>
      </c>
      <c r="F3" s="1" t="s">
        <v>304</v>
      </c>
    </row>
    <row r="4" spans="1:6">
      <c r="A4" s="2" t="s">
        <v>27</v>
      </c>
      <c r="B4" s="2">
        <f>COUNTIF(Pipeline!J:J,"Contact Ready")</f>
        <v>0</v>
      </c>
      <c r="D4" s="2" t="s">
        <v>308</v>
      </c>
      <c r="E4" s="3">
        <f>SUM(Pipeline!R:R)</f>
        <v>0</v>
      </c>
      <c r="F4" s="2" t="s">
        <v>309</v>
      </c>
    </row>
    <row r="5" spans="1:6">
      <c r="A5" s="2" t="s">
        <v>178</v>
      </c>
      <c r="B5" s="2">
        <f>COUNTIF(Pipeline!J:J,"Contacted")</f>
        <v>0</v>
      </c>
      <c r="D5" s="2" t="s">
        <v>310</v>
      </c>
      <c r="E5" s="3">
        <f>SUM(Pipeline!K:K)</f>
        <v>0</v>
      </c>
      <c r="F5" s="2" t="s">
        <v>311</v>
      </c>
    </row>
    <row r="6" spans="1:6">
      <c r="A6" s="2" t="s">
        <v>305</v>
      </c>
      <c r="B6" s="2">
        <f>COUNTIF(Pipeline!J:J,"Replied")</f>
        <v>0</v>
      </c>
      <c r="D6" s="2" t="s">
        <v>312</v>
      </c>
      <c r="E6" s="3">
        <f>SUM(Pipeline!L:L)</f>
        <v>0</v>
      </c>
      <c r="F6" s="2" t="s">
        <v>313</v>
      </c>
    </row>
    <row r="7" spans="1:6">
      <c r="A7" s="2" t="s">
        <v>306</v>
      </c>
      <c r="B7" s="2">
        <f>COUNTIF(Pipeline!J:J,"Negotiating")</f>
        <v>0</v>
      </c>
      <c r="D7" s="2" t="s">
        <v>314</v>
      </c>
      <c r="E7" s="6">
        <f>IFERROR(COUNTIF(Pipeline!J:J,"Replied")/COUNTIF(Pipeline!D:D,"&lt;&gt;"),0)</f>
        <v>0</v>
      </c>
      <c r="F7" s="2" t="s">
        <v>315</v>
      </c>
    </row>
    <row r="8" spans="1:6">
      <c r="A8" s="2" t="s">
        <v>307</v>
      </c>
      <c r="B8" s="2">
        <f>COUNTIF(Pipeline!J:J,"Won/Paid")</f>
        <v>0</v>
      </c>
      <c r="D8" s="2" t="s">
        <v>316</v>
      </c>
      <c r="E8" s="6">
        <f>IFERROR(COUNTIF(Pipeline!J:J,"Won/Paid")/COUNTIF(Pipeline!D:D,"&lt;&gt;"),0)</f>
        <v>0</v>
      </c>
      <c r="F8" s="2" t="s">
        <v>317</v>
      </c>
    </row>
    <row r="9" spans="1:6">
      <c r="A9" s="2" t="s">
        <v>166</v>
      </c>
      <c r="B9" s="2">
        <f>COUNTIF(Pipeline!J:J,"Fulfilled")</f>
        <v>0</v>
      </c>
    </row>
  </sheetData>
  <mergeCells count="1">
    <mergeCell ref="A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B12"/>
  <sheetViews>
    <sheetView workbookViewId="0"/>
  </sheetViews>
  <sheetFormatPr defaultRowHeight="15"/>
  <cols>
    <col min="1" max="1" width="28.7109375" customWidth="1"/>
    <col min="2" max="2" width="100.7109375" customWidth="1"/>
  </cols>
  <sheetData>
    <row r="1" spans="1:2">
      <c r="A1" s="1" t="s">
        <v>318</v>
      </c>
      <c r="B1" s="1" t="s">
        <v>319</v>
      </c>
    </row>
    <row r="2" spans="1:2">
      <c r="A2" s="2" t="s">
        <v>320</v>
      </c>
      <c r="B2" s="2" t="s">
        <v>321</v>
      </c>
    </row>
    <row r="3" spans="1:2">
      <c r="A3" s="2" t="s">
        <v>322</v>
      </c>
      <c r="B3" s="2" t="s">
        <v>323</v>
      </c>
    </row>
    <row r="4" spans="1:2">
      <c r="A4" s="2" t="s">
        <v>324</v>
      </c>
      <c r="B4" s="2" t="s">
        <v>325</v>
      </c>
    </row>
    <row r="5" spans="1:2">
      <c r="A5" s="2" t="s">
        <v>326</v>
      </c>
      <c r="B5" s="2" t="s">
        <v>327</v>
      </c>
    </row>
    <row r="6" spans="1:2">
      <c r="A6" s="2" t="s">
        <v>328</v>
      </c>
      <c r="B6" s="2" t="s">
        <v>329</v>
      </c>
    </row>
    <row r="7" spans="1:2">
      <c r="A7" s="2" t="s">
        <v>330</v>
      </c>
      <c r="B7" s="2" t="s">
        <v>331</v>
      </c>
    </row>
    <row r="8" spans="1:2">
      <c r="A8" s="2" t="s">
        <v>332</v>
      </c>
      <c r="B8" s="2" t="s">
        <v>333</v>
      </c>
    </row>
    <row r="9" spans="1:2">
      <c r="A9" s="2" t="s">
        <v>334</v>
      </c>
      <c r="B9" s="2" t="s">
        <v>335</v>
      </c>
    </row>
    <row r="10" spans="1:2">
      <c r="A10" s="2" t="s">
        <v>173</v>
      </c>
      <c r="B10" s="2" t="s">
        <v>336</v>
      </c>
    </row>
    <row r="11" spans="1:2">
      <c r="A11" s="2" t="s">
        <v>337</v>
      </c>
      <c r="B11" s="2" t="s">
        <v>338</v>
      </c>
    </row>
    <row r="12" spans="1:2">
      <c r="A12" s="2" t="s">
        <v>339</v>
      </c>
      <c r="B12" s="2" t="s">
        <v>340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sheetViews>
  <sheetFormatPr defaultRowHeight="15"/>
  <cols>
    <col min="1" max="4" width="20.7109375" customWidth="1"/>
    <col min="5" max="5" width="90.7109375" customWidth="1"/>
  </cols>
  <sheetData>
    <row r="1" spans="1:5">
      <c r="A1" s="1" t="s">
        <v>341</v>
      </c>
      <c r="B1" s="1" t="s">
        <v>342</v>
      </c>
      <c r="C1" s="1" t="s">
        <v>343</v>
      </c>
      <c r="D1" s="1" t="s">
        <v>344</v>
      </c>
      <c r="E1" s="1" t="s">
        <v>345</v>
      </c>
    </row>
    <row r="2" spans="1:5">
      <c r="A2" s="2" t="s">
        <v>26</v>
      </c>
      <c r="B2" s="2">
        <v>10</v>
      </c>
      <c r="C2" s="2">
        <v>26</v>
      </c>
      <c r="D2" s="2">
        <v>21</v>
      </c>
      <c r="E2" s="2" t="s">
        <v>346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New Lead Queue</vt:lpstr>
      <vt:lpstr>Scripts</vt:lpstr>
      <vt:lpstr>Pipeline</vt:lpstr>
      <vt:lpstr>Actual Outreach History</vt:lpstr>
      <vt:lpstr>Archived Leads</vt:lpstr>
      <vt:lpstr>Sources</vt:lpstr>
      <vt:lpstr>Dashboard</vt:lpstr>
      <vt:lpstr>Update Rules</vt:lpstr>
      <vt:lpstr>Refresh Log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Same-Day Customer Growth Pack — Live CRM</dc:title>
  <dc:subject>Verified prospecting CRM</dc:subject>
  <dc:creator>Founder OS</dc:creator>
  <cp:lastModifiedBy>Founder OS</cp:lastModifiedBy>
  <dcterms:created xsi:type="dcterms:W3CDTF">2026-09-23T15:27:44Z</dcterms:created>
  <dcterms:modified xsi:type="dcterms:W3CDTF">2026-09-23T15:27:44Z</dcterms:modified>
</cp:coreProperties>
</file>