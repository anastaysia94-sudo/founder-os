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<sst xmlns="http://schemas.openxmlformats.org/spreadsheetml/2006/main" count="455" uniqueCount="255">
  <si>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</si>
  <si>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</si>
  <si>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</si>
  <si>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</si>
  <si>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</si>
  <si>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</si>
  <si>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</si>
  <si>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</si>
  <si>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</si>
  <si>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</si>
  <si>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</si>
  <si>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</si>
  <si>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</si>
  <si>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</si>
  <si>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</si>
  <si>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</si>
  <si>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</si>
  <si>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</si>
  <si>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</si>
  <si>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site was current Sep 12 with 24/7 emergency response, free inspections, direct email service@flooddrywdr.com, an ~45-minute on-site target, mitigation/drying, and insurance-claim documentation.</t>
  </si>
  <si>
    <t>(408) 404-4000</t>
  </si>
  <si>
    <t>service@flooddrywdr.com</t>
  </si>
  <si>
    <t>24/7; direct email; emergency-response business</t>
  </si>
  <si>
    <t>Turn hidden moisture, drying documentation and insurance coordination into urgent plain-English homeowner education.</t>
  </si>
  <si>
    <t>Customer-education idea for FloodDry’s free inspection</t>
  </si>
  <si>
    <t>Hi — I checked FloodDry’s current Bay Area restoration page today. You’re still offering 24/7 response, free inspections and clear insurance documentation.
I think there’s a strong customer-education angle inside that process:
“The surface can look dry while moisture is still inside the structure.”
I’d turn that into emergency Google/social posts, homeowner FAQs, inspection follow-ups, drying-documentation reminders and genuine review-request copy.
Same-Day Customer Growth Pack: $150 flat.
Want me to send two FloodDry-specific examples first?</t>
  </si>
  <si>
    <t>https://flooddrywdr.com/</t>
  </si>
  <si>
    <t>2026-09-12</t>
  </si>
  <si>
    <t>Contacted</t>
  </si>
  <si>
    <t>Leader Restoration</t>
  </si>
  <si>
    <t>Mold / Water / Fire / Attic Restoration</t>
  </si>
  <si>
    <t>September offers remain live through Sep 30: free mold inspection and free attic inspection, with 24/7 availability, same-day inspection positioning, a published 60-minute arrival target and direct email service@leaderestoration.com.</t>
  </si>
  <si>
    <t>(408) 868-2433</t>
  </si>
  <si>
    <t>service@leaderestoration.com</t>
  </si>
  <si>
    <t>24/7; direct email; active Sep 30 deadline</t>
  </si>
  <si>
    <t>Use hidden-moisture and attic-efficiency education to make the expiring inspection offers useful rather than coupon-only.</t>
  </si>
  <si>
    <t>2 ideas for Leader’s September inspection campaigns</t>
  </si>
  <si>
    <t>Hi — I checked Leader Restoration’s September campaigns today and saw both the free mold inspection and free attic inspection are still live through September 30.
A stronger customer message than simply repeating “free inspection” is:
“You don’t need visible mold — or a visible attic problem — to have moisture, contamination or efficiency issues worth investigating.”
I’d turn that into Google/social posts, homeowner FAQs, inspection reminders, follow-ups and genuine review-request copy.
Same-Day Customer Growth Pack: $150 flat.
Want me to send two Leader-specific examples first?</t>
  </si>
  <si>
    <t>https://call.leaderestoration.com/mold-408</t>
  </si>
  <si>
    <t>Contact Ready</t>
  </si>
  <si>
    <t>FairPrice Heating &amp; Cooling</t>
  </si>
  <si>
    <t>HVAC / Insulation / Indoor Air Quality</t>
  </si>
  <si>
    <t>Santa Clara / San Jose area, CA</t>
  </si>
  <si>
    <t>Official site remains current with Hello Fall September specials, 24/7 emergency service including weekends/holidays, flexible financing and direct email info@fairpriceheatingandcooling.com.</t>
  </si>
  <si>
    <t>(669) 282-6453</t>
  </si>
  <si>
    <t>info@fairpriceheatingandcooling.com</t>
  </si>
  <si>
    <t>24/7; direct email; active September campaign</t>
  </si>
  <si>
    <t>Turn the September offers into a fall comfort + airflow + attic-efficiency campaign rather than coupon repetition.</t>
  </si>
  <si>
    <t>2 ideas for FairPrice’s September specials</t>
  </si>
  <si>
    <t>Hi — I checked FairPrice’s current site today and your September specials are still prominent alongside 24/7 service and financing.
I think there’s a stronger campaign than simply repeating a coupon:
“Fall comfort starts with the air you move — and the heat your attic lets in.”
I’d turn that into Google/social posts, FAQs, offer reminders, airflow/insulation education, customer follow-ups and genuine review-request copy.
Same-Day Customer Growth Pack: $150 flat.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</si>
  <si>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</si>
  <si>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</si>
  <si>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</si>
  <si>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</si>
  <si>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Official pages remain current with 24/7 emergency restoration, free assessments, direct email help@danselrestoration.com, insurance assistance and mitigation plus reconstruction in-house.</t>
  </si>
  <si>
    <t>(408) 564-0152</t>
  </si>
  <si>
    <t>help@danselrestoration.com</t>
  </si>
  <si>
    <t>Turn mitigation-to-reconstruction continuity into a first-hour emergency decision campaign.</t>
  </si>
  <si>
    <t>First-hour restoration campaign idea for Dansel</t>
  </si>
  <si>
    <t>Hi — I reviewed Dansel’s current restoration pages today. Handling emergency mitigation and reconstruction in-house gives you a strong customer message:
“The first hour is about stopping the damage. The next steps shouldn’t require starting over with another contractor.”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</si>
  <si>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https://danselrestoration.com/about-us/</t>
  </si>
  <si>
    <t>Newhaus Roofing &amp; Construction</t>
  </si>
  <si>
    <t>Residential / Commercial Roofing</t>
  </si>
  <si>
    <t>New Saturday-priority lead: official San Jose page publishes info@newhausroofing.com, free estimates/inspections, residential and commercial roofing, 24/7 availability, emergency repair and flexible 0% financing for qualified homeowners. Current business data shows the San Jose location open Saturday.</t>
  </si>
  <si>
    <t>(669) 287-8895</t>
  </si>
  <si>
    <t>info@newhausroofing.com</t>
  </si>
  <si>
    <t>Direct email; 24/7 availability; Saturday service; free inspection</t>
  </si>
  <si>
    <t>Market inspection-first scope + financing as a lower-friction path into a high-ticket roof replacement or commercial project.</t>
  </si>
  <si>
    <t>Saturday roof-inspection + financing campaign idea for Newhaus</t>
  </si>
  <si>
    <t>Hi — I reviewed Newhaus Roofing’s San Jose page today and noticed you already combine free inspections, residential/commercial roofing, emergency response and financing.
Campaign angle:
“Inspect the roof first. Then decide what needs fixing, what it costs and how the project should be financed.”
I’d turn that into inspection posts, financing FAQs, estimate follow-ups, repair-vs-replacement education and commercial/property-owner content.
Same-Day Customer Growth Pack: $150 flat.
Want two Newhaus-specific examples first?</t>
  </si>
  <si>
    <t>https://newhausroofing.com/locations/san-jose-ca</t>
  </si>
  <si>
    <t>California First Roofing</t>
  </si>
  <si>
    <t>Roofing / Commercial Roofing</t>
  </si>
  <si>
    <t>Official San Jose site was current Sep 12 with direct sales email, 24/7 emergency service, free estimates, drone/ground documentation, fixed-price proposals, residential/commercial work and typical San Jose re-roofs published at roughly $12,000–$45,000+.</t>
  </si>
  <si>
    <t>(424) 777-1619</t>
  </si>
  <si>
    <t>sales@californiafirstroofing.com</t>
  </si>
  <si>
    <t>Direct sales email; 24/7 emergency service; high-ticket roofing</t>
  </si>
  <si>
    <t>Market documented scope + fixed-price estimate + consultation as a proof-before-purchase funnel for major roof projects.</t>
  </si>
  <si>
    <t>High-ticket roof decision funnel idea for California First</t>
  </si>
  <si>
    <t>Hi — I reviewed California First Roofing’s San Jose site again today. Your published process already has the pieces of a strong high-ticket decision funnel: documentation, a fixed-price proposal and premium residential/commercial roofing.
Campaign angle:
“Before committing to a major roof project, know the condition, the scope and the price.”
I’d turn that into inspection posts, estimate follow-ups, material/warranty FAQs, property-manager content and genuine review-request copy.
Same-Day Customer Growth Pack: $150 flat.
Want two California First-specific examples first?</t>
  </si>
  <si>
    <t>https://californiafirstroofingsanjose.com/</t>
  </si>
  <si>
    <t>ROOF EXPRESS</t>
  </si>
  <si>
    <t>Roofing</t>
  </si>
  <si>
    <t>San Jose / Bay Area, CA</t>
  </si>
  <si>
    <t>Especially strong today: official contact page says same-day inspections Monday-Saturday 8 AM–5 PM, direct email sales@roof-ex.com, detailed photo-supported digital quotes within 24 hours and financing up to $25,000 with $0 down.</t>
  </si>
  <si>
    <t>(650) 666-5554</t>
  </si>
  <si>
    <t>sales@roof-ex.com</t>
  </si>
  <si>
    <t>Direct email; Saturday same-day inspections; 24-hour digital quotes</t>
  </si>
  <si>
    <t>Use Saturday same-day inspection → photo evidence → line-item scope → financing as a proof-before-purchase sequence.</t>
  </si>
  <si>
    <t>Saturday inspection-to-estimate campaign idea for ROOF EXPRESS</t>
  </si>
  <si>
    <t>Hi — I checked ROOF EXPRESS’s current contact and San Jose pages today and noticed you’re offering same-day inspections on Saturdays, followed by detailed photo-supported digital estimates within 24 hours.
Campaign angle:
“See the roof today. See the documented scope next. Then decide.”
I’d turn that into inspection posts, financing FAQs, estimate follow-ups, repair-vs-replacement education and genuine review-request copy.
Same-Day Customer Growth Pack: $150 flat.
Want two ROOF EXPRESS-specific examples first?</t>
  </si>
  <si>
    <t>https://roof-ex.com/contact</t>
  </si>
  <si>
    <t>Galaxy Heating &amp; Air Conditioning</t>
  </si>
  <si>
    <t>HVAC / Heat Pumps / Indoor Air Quality</t>
  </si>
  <si>
    <t>Official pages remain current with direct email info@galaxyservices.com, 24/7 phone support, same-day service, a $59 diagnostic applied toward repair, free replacement estimates and a published call-before-noon same-afternoon service path with no added weekend fee.</t>
  </si>
  <si>
    <t>(925) 578-3379</t>
  </si>
  <si>
    <t>info@galaxyservices.com</t>
  </si>
  <si>
    <t>24/7; direct email; same-day/weekend service</t>
  </si>
  <si>
    <t>Build a diagnose-first repair-versus-replacement campaign around same-day weekend service and transparent decision points.</t>
  </si>
  <si>
    <t>Same-day weekend HVAC decision-flow idea for Galaxy</t>
  </si>
  <si>
    <t>Hi — I reviewed Galaxy’s current same-day service pages today and noticed a very usable customer decision path: call before noon for typical same-afternoon service, diagnose the system, then choose repair or a replacement estimate without an added weekend service fee.
Campaign angle:
“Diagnose first. Then decide whether repairing or replacing actually makes sense.”
I’d turn that into symptom-based posts, repair-vs-replace FAQs, estimate follow-ups, financing education and genuine review-request copy.
Same-Day Customer Growth Pack: $150 flat.
Want two Galaxy-specific examples first?</t>
  </si>
  <si>
    <t>https://galaxyservices.com/same-day-ac-repair/</t>
  </si>
  <si>
    <t>Roof By Tom</t>
  </si>
  <si>
    <t>Bay Area / San Jose, CA</t>
  </si>
  <si>
    <t>Official site was current Sep 12 with direct email roofbytom@gmail.com, free written estimates, same-day callbacks on most requests, same-day leak help when available, photo documentation, and financing up to 100% for qualifying replacement projects with same-day approvals.</t>
  </si>
  <si>
    <t>(925) 488-1882</t>
  </si>
  <si>
    <t>roofbytom@gmail.com</t>
  </si>
  <si>
    <t>Direct email; same-day callbacks on most estimate requests</t>
  </si>
  <si>
    <t>Use inspection → photos → written scope → repair/replacement/financing decision as a trust-building funnel.</t>
  </si>
  <si>
    <t>Idea for Roof By Tom’s same-day estimate flow</t>
  </si>
  <si>
    <t>Hi — I checked Roof By Tom’s current estimate and financing process today and noticed you still emphasize same-day callbacks on most requests.
Campaign angle:
“First find out exactly what the roof needs. Then decide whether repair, replacement or financing makes sense.”
I’d turn that into leak-response posts, repair-vs-replacement FAQs, estimate follow-ups, financing education and genuine review-request copy.
Same-Day Customer Growth Pack: $150 flat.
Want two Roof By Tom-specific examples first?</t>
  </si>
  <si>
    <t>https://roofbytom.com/</t>
  </si>
  <si>
    <t>Therma Tech</t>
  </si>
  <si>
    <t>HVAC</t>
  </si>
  <si>
    <t>Already contacted by email Sep 7. Gmail checked Sep 12: only the original sent email exists; no genuine reply and no follow-up email found. Official site is current today, open Saturday 8 AM–2:30 PM, with same-day service, a free diagnostic, financing and fast callback positioning.</t>
  </si>
  <si>
    <t>(408) 629-5400</t>
  </si>
  <si>
    <t>info@thermatechhvac.com</t>
  </si>
  <si>
    <t>Already contacted Sep 7; no reply; Saturday 8 AM–2:30 PM; FU1 overdue</t>
  </si>
  <si>
    <t>Do not cold-open again. Next action is one respectful follow-up on the financing + same-day decision angle.</t>
  </si>
  <si>
    <t>Follow-up: Therma Tech financing + same-day traffic idea</t>
  </si>
  <si>
    <t>Hi — following up once on the financing-content idea I sent. Your current site already has the offer; my thought is to make the repair/replace/finance decision easier to understand across posts, FAQs and estimate follow-up.
I can send the two Therma Tech-specific examples first so you can judge the direction before deciding. No obligation.</t>
  </si>
  <si>
    <t>https://thermatechhvac.com/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</si>
  <si>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</si>
  <si>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</si>
  <si>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</si>
  <si>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</si>
  <si>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</si>
  <si>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</si>
  <si>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</si>
  <si>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</si>
  <si>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</si>
  <si>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</si>
  <si>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</si>
  <si>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</si>
  <si>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</si>
  <si>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</si>
  <si>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</si>
  <si>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</si>
  <si>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</si>
  <si>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</si>
  <si>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</si>
  <si>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</si>
  <si>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</si>
  <si>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</si>
  <si>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</si>
  <si>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</si>
  <si>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</si>
  <si>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</si>
  <si>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</si>
  <si>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</si>
  <si>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</si>
  <si>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</si>
  <si>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</si>
  <si>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</si>
  <si>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</si>
  <si>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</si>
  <si>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</si>
  <si>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</si>
  <si>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</si>
  <si>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</si>
  <si>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</si>
  <si>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</si>
  <si>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</si>
  <si>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</si>
  <si>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</si>
  <si>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</si>
  <si>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</si>
  <si>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</si>
  <si>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</si>
  <si>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</si>
  <si>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</si>
  <si>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</si>
  <si>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</si>
  <si>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</si>
  <si>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</si>
  <si>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</si>
  <si>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</si>
  <si>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</si>
  <si>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2026-09-05T22:50:24-07:00</t>
  </si>
  <si>
    <t>2026-09-08</t>
  </si>
  <si>
    <t>2026-09-08T16:45:47-07:00</t>
  </si>
  <si>
    <t>Two verified outbound emails, no inbound reply found through 2026-09-12. Do not send another cold touch now.</t>
  </si>
  <si>
    <t>Rotated out of fresh queue 2026-09-12; no outreach found in connected Gmail checks.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</si>
  <si>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</si>
  <si>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</si>
  <si>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</si>
  <si>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2026-09-05T22:39:21-07:00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</si>
  <si>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</si>
  <si>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</si>
  <si>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</si>
  <si>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</si>
  <si>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</si>
  <si>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Archived</t>
  </si>
  <si>
    <t>CostLess Heating &amp; Cooling</t>
  </si>
  <si>
    <t>2026-09-06</t>
  </si>
  <si>
    <t>Los Gatos Roofing</t>
  </si>
  <si>
    <t>Precision Heating &amp; Cooling</t>
  </si>
  <si>
    <t>2026-09-06T01:37:52-07:00</t>
  </si>
  <si>
    <t>Roofs By Reveille, Inc</t>
  </si>
  <si>
    <t>A1 Restoration</t>
  </si>
  <si>
    <t>911 Restoration of San Jose</t>
  </si>
  <si>
    <t>Any Hour Water and Fire</t>
  </si>
  <si>
    <t>IRBIS Air Plumbing Electrical</t>
  </si>
  <si>
    <t>2026-09-10</t>
  </si>
  <si>
    <t>California Water and Fire</t>
  </si>
  <si>
    <t>Infinium Solar, Roofing and Electric</t>
  </si>
  <si>
    <t>Lifetime Roofing &amp; Renovation, Inc.</t>
  </si>
  <si>
    <t>South Bay Roofing CO</t>
  </si>
  <si>
    <t>Eastman Roofing &amp; Waterproofing, Inc.</t>
  </si>
  <si>
    <t>The Roofer Bros</t>
  </si>
  <si>
    <t>Air &amp; Plumbing Systems</t>
  </si>
  <si>
    <t>2026-09-11</t>
  </si>
  <si>
    <t>Top Tier Roofing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</si>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</sst>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about-us/" TargetMode="External"/><Relationship Id="rId5" Type="http://schemas.openxmlformats.org/officeDocument/2006/relationships/hyperlink" Target="https://newhausroofing.com/locations/san-jose-ca" TargetMode="External"/><Relationship Id="rId6" Type="http://schemas.openxmlformats.org/officeDocument/2006/relationships/hyperlink" Target="https://californiafirstroofingsanjose.com/" TargetMode="External"/><Relationship Id="rId7" Type="http://schemas.openxmlformats.org/officeDocument/2006/relationships/hyperlink" Target="https://roof-ex.com/contact" TargetMode="External"/><Relationship Id="rId8" Type="http://schemas.openxmlformats.org/officeDocument/2006/relationships/hyperlink" Target="https://galaxyservices.com/same-day-ac-repair/" TargetMode="External"/><Relationship Id="rId9" Type="http://schemas.openxmlformats.org/officeDocument/2006/relationships/hyperlink" Target="https://roofbytom.com/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about-us/" TargetMode="External"/><Relationship Id="rId5" Type="http://schemas.openxmlformats.org/officeDocument/2006/relationships/hyperlink" Target="https://newhausroofing.com/locations/san-jose-ca" TargetMode="External"/><Relationship Id="rId6" Type="http://schemas.openxmlformats.org/officeDocument/2006/relationships/hyperlink" Target="https://californiafirstroofingsanjose.com/" TargetMode="External"/><Relationship Id="rId7" Type="http://schemas.openxmlformats.org/officeDocument/2006/relationships/hyperlink" Target="https://roof-ex.com/contact" TargetMode="External"/><Relationship Id="rId8" Type="http://schemas.openxmlformats.org/officeDocument/2006/relationships/hyperlink" Target="https://galaxyservices.com/same-day-ac-repair/" TargetMode="External"/><Relationship Id="rId9" Type="http://schemas.openxmlformats.org/officeDocument/2006/relationships/hyperlink" Target="https://roofbytom.com/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about-us/" TargetMode="External"/><Relationship Id="rId5" Type="http://schemas.openxmlformats.org/officeDocument/2006/relationships/hyperlink" Target="https://newhausroofing.com/locations/san-jose-ca" TargetMode="External"/><Relationship Id="rId6" Type="http://schemas.openxmlformats.org/officeDocument/2006/relationships/hyperlink" Target="https://californiafirstroofingsanjose.com/" TargetMode="External"/><Relationship Id="rId7" Type="http://schemas.openxmlformats.org/officeDocument/2006/relationships/hyperlink" Target="https://roof-ex.com/contact" TargetMode="External"/><Relationship Id="rId8" Type="http://schemas.openxmlformats.org/officeDocument/2006/relationships/hyperlink" Target="https://galaxyservices.com/same-day-ac-repair/" TargetMode="External"/><Relationship Id="rId9" Type="http://schemas.openxmlformats.org/officeDocument/2006/relationships/hyperlink" Target="https://roofbytom.com/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39</v>
      </c>
    </row>
    <row r="4" spans="1:15">
      <c r="A4" s="2">
        <v>3</v>
      </c>
      <c r="B4" s="2" t="s">
        <v>40</v>
      </c>
      <c r="C4" s="2" t="s">
        <v>41</v>
      </c>
      <c r="D4" s="2" t="s">
        <v>42</v>
      </c>
      <c r="E4" s="2" t="s">
        <v>18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47</v>
      </c>
      <c r="K4" s="2" t="s">
        <v>48</v>
      </c>
      <c r="L4" s="2" t="s">
        <v>49</v>
      </c>
      <c r="M4" s="2" t="s">
        <v>50</v>
      </c>
      <c r="N4" s="2" t="s">
        <v>27</v>
      </c>
      <c r="O4" s="2" t="s">
        <v>39</v>
      </c>
    </row>
    <row r="5" spans="1:15">
      <c r="A5" s="2">
        <v>4</v>
      </c>
      <c r="B5" s="2" t="s">
        <v>51</v>
      </c>
      <c r="C5" s="2" t="s">
        <v>52</v>
      </c>
      <c r="D5" s="2" t="s">
        <v>53</v>
      </c>
      <c r="E5" s="2" t="s">
        <v>18</v>
      </c>
      <c r="F5" s="2" t="s">
        <v>54</v>
      </c>
      <c r="G5" s="2" t="s">
        <v>55</v>
      </c>
      <c r="H5" s="2" t="s">
        <v>56</v>
      </c>
      <c r="I5" s="2" t="s">
        <v>22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17</v>
      </c>
      <c r="E6" s="2" t="s">
        <v>18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  <c r="L6" s="2" t="s">
        <v>69</v>
      </c>
      <c r="M6" s="2" t="s">
        <v>70</v>
      </c>
      <c r="N6" s="2" t="s">
        <v>27</v>
      </c>
      <c r="O6" s="2" t="s">
        <v>39</v>
      </c>
    </row>
    <row r="7" spans="1:15">
      <c r="A7" s="2">
        <v>6</v>
      </c>
      <c r="B7" s="2" t="s">
        <v>71</v>
      </c>
      <c r="C7" s="2" t="s">
        <v>72</v>
      </c>
      <c r="D7" s="2" t="s">
        <v>17</v>
      </c>
      <c r="E7" s="2" t="s">
        <v>18</v>
      </c>
      <c r="F7" s="2" t="s">
        <v>73</v>
      </c>
      <c r="G7" s="2" t="s">
        <v>74</v>
      </c>
      <c r="H7" s="2" t="s">
        <v>75</v>
      </c>
      <c r="I7" s="2" t="s">
        <v>76</v>
      </c>
      <c r="J7" s="2" t="s">
        <v>77</v>
      </c>
      <c r="K7" s="2" t="s">
        <v>78</v>
      </c>
      <c r="L7" s="2" t="s">
        <v>79</v>
      </c>
      <c r="M7" s="2" t="s">
        <v>80</v>
      </c>
      <c r="N7" s="2" t="s">
        <v>27</v>
      </c>
      <c r="O7" s="2" t="s">
        <v>28</v>
      </c>
    </row>
    <row r="8" spans="1:15">
      <c r="A8" s="2">
        <v>7</v>
      </c>
      <c r="B8" s="2" t="s">
        <v>81</v>
      </c>
      <c r="C8" s="2" t="s">
        <v>82</v>
      </c>
      <c r="D8" s="2" t="s">
        <v>83</v>
      </c>
      <c r="E8" s="2" t="s">
        <v>18</v>
      </c>
      <c r="F8" s="2" t="s">
        <v>84</v>
      </c>
      <c r="G8" s="2" t="s">
        <v>85</v>
      </c>
      <c r="H8" s="2" t="s">
        <v>86</v>
      </c>
      <c r="I8" s="2" t="s">
        <v>87</v>
      </c>
      <c r="J8" s="2" t="s">
        <v>88</v>
      </c>
      <c r="K8" s="2" t="s">
        <v>89</v>
      </c>
      <c r="L8" s="2" t="s">
        <v>90</v>
      </c>
      <c r="M8" s="2" t="s">
        <v>91</v>
      </c>
      <c r="N8" s="2" t="s">
        <v>27</v>
      </c>
      <c r="O8" s="2" t="s">
        <v>39</v>
      </c>
    </row>
    <row r="9" spans="1:15">
      <c r="A9" s="2">
        <v>8</v>
      </c>
      <c r="B9" s="2" t="s">
        <v>92</v>
      </c>
      <c r="C9" s="2" t="s">
        <v>93</v>
      </c>
      <c r="D9" s="2" t="s">
        <v>83</v>
      </c>
      <c r="E9" s="2" t="s">
        <v>18</v>
      </c>
      <c r="F9" s="2" t="s">
        <v>94</v>
      </c>
      <c r="G9" s="2" t="s">
        <v>95</v>
      </c>
      <c r="H9" s="2" t="s">
        <v>96</v>
      </c>
      <c r="I9" s="2" t="s">
        <v>97</v>
      </c>
      <c r="J9" s="2" t="s">
        <v>98</v>
      </c>
      <c r="K9" s="2" t="s">
        <v>99</v>
      </c>
      <c r="L9" s="2" t="s">
        <v>100</v>
      </c>
      <c r="M9" s="2" t="s">
        <v>101</v>
      </c>
      <c r="N9" s="2" t="s">
        <v>27</v>
      </c>
      <c r="O9" s="2" t="s">
        <v>39</v>
      </c>
    </row>
    <row r="10" spans="1:15">
      <c r="A10" s="2">
        <v>9</v>
      </c>
      <c r="B10" s="2" t="s">
        <v>102</v>
      </c>
      <c r="C10" s="2" t="s">
        <v>82</v>
      </c>
      <c r="D10" s="2" t="s">
        <v>103</v>
      </c>
      <c r="E10" s="2" t="s">
        <v>18</v>
      </c>
      <c r="F10" s="2" t="s">
        <v>104</v>
      </c>
      <c r="G10" s="2" t="s">
        <v>105</v>
      </c>
      <c r="H10" s="2" t="s">
        <v>106</v>
      </c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27</v>
      </c>
      <c r="O10" s="2" t="s">
        <v>39</v>
      </c>
    </row>
    <row r="11" spans="1:15">
      <c r="A11" s="2">
        <v>10</v>
      </c>
      <c r="B11" s="2" t="s">
        <v>112</v>
      </c>
      <c r="C11" s="2" t="s">
        <v>113</v>
      </c>
      <c r="D11" s="2" t="s">
        <v>17</v>
      </c>
      <c r="E11" s="2" t="s">
        <v>18</v>
      </c>
      <c r="F11" s="2" t="s">
        <v>114</v>
      </c>
      <c r="G11" s="2" t="s">
        <v>115</v>
      </c>
      <c r="H11" s="2" t="s">
        <v>116</v>
      </c>
      <c r="I11" s="2" t="s">
        <v>117</v>
      </c>
      <c r="J11" s="2" t="s">
        <v>118</v>
      </c>
      <c r="K11" s="2" t="s">
        <v>119</v>
      </c>
      <c r="L11" s="2" t="s">
        <v>120</v>
      </c>
      <c r="M11" s="2" t="s">
        <v>121</v>
      </c>
      <c r="N11" s="2" t="s">
        <v>27</v>
      </c>
      <c r="O11" s="2" t="s">
        <v>28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122</v>
      </c>
      <c r="B1" s="1" t="s">
        <v>123</v>
      </c>
      <c r="C1" s="1" t="s">
        <v>124</v>
      </c>
      <c r="D1" s="1" t="s">
        <v>125</v>
      </c>
    </row>
    <row r="2" spans="1:4">
      <c r="A2" s="2" t="s">
        <v>126</v>
      </c>
      <c r="B2" s="2" t="s">
        <v>127</v>
      </c>
      <c r="C2" s="2" t="s">
        <v>128</v>
      </c>
      <c r="D2" s="2" t="s">
        <v>129</v>
      </c>
    </row>
    <row r="3" spans="1:4">
      <c r="A3" s="2" t="s">
        <v>130</v>
      </c>
      <c r="B3" s="2" t="s">
        <v>131</v>
      </c>
      <c r="C3" s="2" t="s">
        <v>132</v>
      </c>
      <c r="D3" s="2" t="s">
        <v>133</v>
      </c>
    </row>
    <row r="4" spans="1:4">
      <c r="A4" s="2" t="s">
        <v>134</v>
      </c>
      <c r="B4" s="2" t="s">
        <v>135</v>
      </c>
      <c r="C4" s="2" t="s">
        <v>136</v>
      </c>
      <c r="D4" s="2" t="s">
        <v>137</v>
      </c>
    </row>
    <row r="5" spans="1:4">
      <c r="A5" s="2" t="s">
        <v>138</v>
      </c>
      <c r="B5" s="2" t="s">
        <v>139</v>
      </c>
      <c r="C5" s="2" t="s">
        <v>140</v>
      </c>
      <c r="D5" s="2" t="s">
        <v>141</v>
      </c>
    </row>
    <row r="6" spans="1:4">
      <c r="A6" s="2" t="s">
        <v>142</v>
      </c>
      <c r="B6" s="2" t="s">
        <v>143</v>
      </c>
      <c r="C6" s="2" t="s">
        <v>144</v>
      </c>
      <c r="D6" s="2" t="s">
        <v>145</v>
      </c>
    </row>
    <row r="7" spans="1:4">
      <c r="A7" s="2" t="s">
        <v>146</v>
      </c>
      <c r="B7" s="2" t="s">
        <v>147</v>
      </c>
      <c r="C7" s="2" t="s">
        <v>148</v>
      </c>
      <c r="D7" s="2" t="s">
        <v>149</v>
      </c>
    </row>
    <row r="8" spans="1:4">
      <c r="A8" s="2" t="s">
        <v>150</v>
      </c>
      <c r="B8" s="2" t="s">
        <v>151</v>
      </c>
      <c r="C8" s="2" t="s">
        <v>152</v>
      </c>
      <c r="D8" s="2" t="s">
        <v>153</v>
      </c>
    </row>
    <row r="9" spans="1:4">
      <c r="A9" s="2" t="s">
        <v>154</v>
      </c>
      <c r="B9" s="2" t="s">
        <v>155</v>
      </c>
      <c r="C9" s="2" t="s">
        <v>156</v>
      </c>
      <c r="D9" s="2" t="s">
        <v>157</v>
      </c>
    </row>
    <row r="10" spans="1:4">
      <c r="A10" s="2" t="s">
        <v>158</v>
      </c>
      <c r="B10" s="2" t="s">
        <v>159</v>
      </c>
      <c r="C10" s="2" t="s">
        <v>160</v>
      </c>
      <c r="D10" s="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162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123</v>
      </c>
      <c r="K1" s="1" t="s">
        <v>171</v>
      </c>
      <c r="L1" s="1" t="s">
        <v>172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</row>
    <row r="2" spans="1:17">
      <c r="A2" s="2" t="s">
        <v>15</v>
      </c>
      <c r="B2" s="2">
        <v>1</v>
      </c>
      <c r="C2" s="2" t="s">
        <v>21</v>
      </c>
      <c r="D2" s="2" t="s">
        <v>178</v>
      </c>
      <c r="E2" s="2" t="s">
        <v>179</v>
      </c>
      <c r="F2" s="2" t="s">
        <v>180</v>
      </c>
      <c r="G2" s="2"/>
      <c r="H2" s="2"/>
      <c r="I2" s="2"/>
      <c r="J2" s="2" t="s">
        <v>28</v>
      </c>
      <c r="K2" s="3">
        <v>0</v>
      </c>
      <c r="L2" s="3">
        <v>0</v>
      </c>
      <c r="M2" s="2"/>
      <c r="N2" s="2" t="s">
        <v>181</v>
      </c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39</v>
      </c>
      <c r="K3" s="3">
        <v>0</v>
      </c>
      <c r="L3" s="3">
        <v>0</v>
      </c>
      <c r="M3" s="2"/>
      <c r="N3" s="2" t="s">
        <v>182</v>
      </c>
      <c r="O3" s="2"/>
      <c r="P3" s="2" t="s">
        <v>27</v>
      </c>
      <c r="Q3" s="2" t="s">
        <v>38</v>
      </c>
    </row>
    <row r="4" spans="1:17">
      <c r="A4" s="2" t="s">
        <v>40</v>
      </c>
      <c r="B4" s="2">
        <v>3</v>
      </c>
      <c r="C4" s="2" t="s">
        <v>45</v>
      </c>
      <c r="D4" s="2"/>
      <c r="E4" s="2"/>
      <c r="F4" s="2"/>
      <c r="G4" s="2"/>
      <c r="H4" s="2"/>
      <c r="I4" s="2"/>
      <c r="J4" s="2" t="s">
        <v>39</v>
      </c>
      <c r="K4" s="3">
        <v>0</v>
      </c>
      <c r="L4" s="3">
        <v>0</v>
      </c>
      <c r="M4" s="2"/>
      <c r="N4" s="2" t="s">
        <v>182</v>
      </c>
      <c r="O4" s="2"/>
      <c r="P4" s="2" t="s">
        <v>27</v>
      </c>
      <c r="Q4" s="2" t="s">
        <v>50</v>
      </c>
    </row>
    <row r="5" spans="1:17">
      <c r="A5" s="2" t="s">
        <v>51</v>
      </c>
      <c r="B5" s="2">
        <v>4</v>
      </c>
      <c r="C5" s="2" t="s">
        <v>56</v>
      </c>
      <c r="D5" s="2" t="s">
        <v>183</v>
      </c>
      <c r="E5" s="2" t="s">
        <v>184</v>
      </c>
      <c r="F5" s="2"/>
      <c r="G5" s="2"/>
      <c r="H5" s="2"/>
      <c r="I5" s="2"/>
      <c r="J5" s="2" t="s">
        <v>28</v>
      </c>
      <c r="K5" s="3">
        <v>0</v>
      </c>
      <c r="L5" s="3">
        <v>0</v>
      </c>
      <c r="M5" s="2"/>
      <c r="N5" s="2" t="s">
        <v>185</v>
      </c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65</v>
      </c>
      <c r="D6" s="2"/>
      <c r="E6" s="2"/>
      <c r="F6" s="2"/>
      <c r="G6" s="2"/>
      <c r="H6" s="2"/>
      <c r="I6" s="2"/>
      <c r="J6" s="2" t="s">
        <v>39</v>
      </c>
      <c r="K6" s="3">
        <v>150</v>
      </c>
      <c r="L6" s="3">
        <v>0</v>
      </c>
      <c r="M6" s="2"/>
      <c r="N6" s="2"/>
      <c r="O6" s="2"/>
      <c r="P6" s="2" t="s">
        <v>27</v>
      </c>
      <c r="Q6" s="2" t="s">
        <v>70</v>
      </c>
    </row>
    <row r="7" spans="1:17">
      <c r="A7" s="2" t="s">
        <v>71</v>
      </c>
      <c r="B7" s="2">
        <v>6</v>
      </c>
      <c r="C7" s="2" t="s">
        <v>75</v>
      </c>
      <c r="D7" s="2" t="s">
        <v>186</v>
      </c>
      <c r="E7" s="2" t="s">
        <v>184</v>
      </c>
      <c r="F7" s="2"/>
      <c r="G7" s="2"/>
      <c r="H7" s="2"/>
      <c r="I7" s="2"/>
      <c r="J7" s="2" t="s">
        <v>28</v>
      </c>
      <c r="K7" s="3">
        <v>0</v>
      </c>
      <c r="L7" s="3">
        <v>0</v>
      </c>
      <c r="M7" s="2"/>
      <c r="N7" s="2" t="s">
        <v>185</v>
      </c>
      <c r="O7" s="2"/>
      <c r="P7" s="2" t="s">
        <v>27</v>
      </c>
      <c r="Q7" s="2" t="s">
        <v>80</v>
      </c>
    </row>
    <row r="8" spans="1:17">
      <c r="A8" s="2" t="s">
        <v>81</v>
      </c>
      <c r="B8" s="2">
        <v>7</v>
      </c>
      <c r="C8" s="2" t="s">
        <v>86</v>
      </c>
      <c r="D8" s="2"/>
      <c r="E8" s="2"/>
      <c r="F8" s="2"/>
      <c r="G8" s="2"/>
      <c r="H8" s="2"/>
      <c r="I8" s="2"/>
      <c r="J8" s="2" t="s">
        <v>39</v>
      </c>
      <c r="K8" s="3">
        <v>0</v>
      </c>
      <c r="L8" s="3">
        <v>0</v>
      </c>
      <c r="M8" s="2"/>
      <c r="N8" s="2" t="s">
        <v>182</v>
      </c>
      <c r="O8" s="2"/>
      <c r="P8" s="2" t="s">
        <v>27</v>
      </c>
      <c r="Q8" s="2" t="s">
        <v>91</v>
      </c>
    </row>
    <row r="9" spans="1:17">
      <c r="A9" s="2" t="s">
        <v>92</v>
      </c>
      <c r="B9" s="2">
        <v>8</v>
      </c>
      <c r="C9" s="2" t="s">
        <v>96</v>
      </c>
      <c r="D9" s="2"/>
      <c r="E9" s="2"/>
      <c r="F9" s="2"/>
      <c r="G9" s="2"/>
      <c r="H9" s="2"/>
      <c r="I9" s="2"/>
      <c r="J9" s="2" t="s">
        <v>39</v>
      </c>
      <c r="K9" s="3">
        <v>0</v>
      </c>
      <c r="L9" s="3">
        <v>0</v>
      </c>
      <c r="M9" s="2"/>
      <c r="N9" s="2" t="s">
        <v>182</v>
      </c>
      <c r="O9" s="2"/>
      <c r="P9" s="2" t="s">
        <v>27</v>
      </c>
      <c r="Q9" s="2" t="s">
        <v>101</v>
      </c>
    </row>
    <row r="10" spans="1:17">
      <c r="A10" s="2" t="s">
        <v>102</v>
      </c>
      <c r="B10" s="2">
        <v>9</v>
      </c>
      <c r="C10" s="2" t="s">
        <v>106</v>
      </c>
      <c r="D10" s="2"/>
      <c r="E10" s="2"/>
      <c r="F10" s="2"/>
      <c r="G10" s="2"/>
      <c r="H10" s="2"/>
      <c r="I10" s="2"/>
      <c r="J10" s="2" t="s">
        <v>39</v>
      </c>
      <c r="K10" s="3">
        <v>0</v>
      </c>
      <c r="L10" s="3">
        <v>0</v>
      </c>
      <c r="M10" s="2"/>
      <c r="N10" s="2" t="s">
        <v>182</v>
      </c>
      <c r="O10" s="2"/>
      <c r="P10" s="2" t="s">
        <v>27</v>
      </c>
      <c r="Q10" s="2" t="s">
        <v>111</v>
      </c>
    </row>
    <row r="11" spans="1:17">
      <c r="A11" s="2" t="s">
        <v>112</v>
      </c>
      <c r="B11" s="2">
        <v>10</v>
      </c>
      <c r="C11" s="2" t="s">
        <v>116</v>
      </c>
      <c r="D11" s="2" t="s">
        <v>187</v>
      </c>
      <c r="E11" s="2" t="s">
        <v>188</v>
      </c>
      <c r="F11" s="2" t="s">
        <v>189</v>
      </c>
      <c r="G11" s="2" t="s">
        <v>188</v>
      </c>
      <c r="H11" s="2" t="s">
        <v>190</v>
      </c>
      <c r="I11" s="2"/>
      <c r="J11" s="2" t="s">
        <v>28</v>
      </c>
      <c r="K11" s="3">
        <v>0</v>
      </c>
      <c r="L11" s="3">
        <v>0</v>
      </c>
      <c r="M11" s="2"/>
      <c r="N11" s="2" t="s">
        <v>191</v>
      </c>
      <c r="O11" s="2"/>
      <c r="P11" s="2" t="s">
        <v>27</v>
      </c>
      <c r="Q11" s="2" t="s">
        <v>121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123</v>
      </c>
      <c r="C1" s="4" t="s">
        <v>165</v>
      </c>
      <c r="D1" s="4" t="s">
        <v>170</v>
      </c>
      <c r="E1" s="4" t="s">
        <v>171</v>
      </c>
      <c r="F1" s="4" t="s">
        <v>172</v>
      </c>
      <c r="G1" s="4" t="s">
        <v>192</v>
      </c>
      <c r="H1" s="4" t="s">
        <v>175</v>
      </c>
    </row>
    <row r="2" spans="1:8">
      <c r="A2" s="2" t="s">
        <v>29</v>
      </c>
      <c r="B2" s="2" t="s">
        <v>39</v>
      </c>
      <c r="C2" s="2"/>
      <c r="D2" s="2"/>
      <c r="E2" s="3">
        <v>0</v>
      </c>
      <c r="F2" s="3">
        <v>0</v>
      </c>
      <c r="G2" s="2" t="s">
        <v>27</v>
      </c>
      <c r="H2" s="2"/>
    </row>
    <row r="3" spans="1:8">
      <c r="A3" s="2" t="s">
        <v>193</v>
      </c>
      <c r="B3" s="2" t="s">
        <v>39</v>
      </c>
      <c r="C3" s="2"/>
      <c r="D3" s="2"/>
      <c r="E3" s="3">
        <v>0</v>
      </c>
      <c r="F3" s="3">
        <v>0</v>
      </c>
      <c r="G3" s="2" t="s">
        <v>194</v>
      </c>
      <c r="H3" s="2"/>
    </row>
    <row r="4" spans="1:8">
      <c r="A4" s="2" t="s">
        <v>195</v>
      </c>
      <c r="B4" s="2" t="s">
        <v>39</v>
      </c>
      <c r="C4" s="2"/>
      <c r="D4" s="2"/>
      <c r="E4" s="3">
        <v>0</v>
      </c>
      <c r="F4" s="3">
        <v>0</v>
      </c>
      <c r="G4" s="2" t="s">
        <v>194</v>
      </c>
      <c r="H4" s="2"/>
    </row>
    <row r="5" spans="1:8">
      <c r="A5" s="2" t="s">
        <v>196</v>
      </c>
      <c r="B5" s="2" t="s">
        <v>28</v>
      </c>
      <c r="C5" s="2" t="s">
        <v>197</v>
      </c>
      <c r="D5" s="2"/>
      <c r="E5" s="3">
        <v>0</v>
      </c>
      <c r="F5" s="3">
        <v>0</v>
      </c>
      <c r="G5" s="2" t="s">
        <v>194</v>
      </c>
      <c r="H5" s="2"/>
    </row>
    <row r="6" spans="1:8">
      <c r="A6" s="2" t="s">
        <v>198</v>
      </c>
      <c r="B6" s="2" t="s">
        <v>39</v>
      </c>
      <c r="C6" s="2"/>
      <c r="D6" s="2"/>
      <c r="E6" s="3">
        <v>0</v>
      </c>
      <c r="F6" s="3">
        <v>0</v>
      </c>
      <c r="G6" s="2" t="s">
        <v>194</v>
      </c>
      <c r="H6" s="2"/>
    </row>
    <row r="7" spans="1:8">
      <c r="A7" s="2" t="s">
        <v>199</v>
      </c>
      <c r="B7" s="2" t="s">
        <v>39</v>
      </c>
      <c r="C7" s="2"/>
      <c r="D7" s="2"/>
      <c r="E7" s="3">
        <v>0</v>
      </c>
      <c r="F7" s="3">
        <v>0</v>
      </c>
      <c r="G7" s="2" t="s">
        <v>194</v>
      </c>
      <c r="H7" s="2"/>
    </row>
    <row r="8" spans="1:8">
      <c r="A8" s="2" t="s">
        <v>200</v>
      </c>
      <c r="B8" s="2" t="s">
        <v>39</v>
      </c>
      <c r="C8" s="2"/>
      <c r="D8" s="2"/>
      <c r="E8" s="3">
        <v>0</v>
      </c>
      <c r="F8" s="3">
        <v>0</v>
      </c>
      <c r="G8" s="2" t="s">
        <v>194</v>
      </c>
      <c r="H8" s="2"/>
    </row>
    <row r="9" spans="1:8">
      <c r="A9" s="2" t="s">
        <v>201</v>
      </c>
      <c r="B9" s="2" t="s">
        <v>39</v>
      </c>
      <c r="C9" s="2"/>
      <c r="D9" s="2"/>
      <c r="E9" s="3">
        <v>0</v>
      </c>
      <c r="F9" s="3">
        <v>0</v>
      </c>
      <c r="G9" s="2" t="s">
        <v>188</v>
      </c>
      <c r="H9" s="2"/>
    </row>
    <row r="10" spans="1:8">
      <c r="A10" s="2" t="s">
        <v>202</v>
      </c>
      <c r="B10" s="2" t="s">
        <v>39</v>
      </c>
      <c r="C10" s="2"/>
      <c r="D10" s="2"/>
      <c r="E10" s="3">
        <v>0</v>
      </c>
      <c r="F10" s="3">
        <v>0</v>
      </c>
      <c r="G10" s="2" t="s">
        <v>203</v>
      </c>
      <c r="H10" s="2"/>
    </row>
    <row r="11" spans="1:8">
      <c r="A11" s="2" t="s">
        <v>204</v>
      </c>
      <c r="B11" s="2" t="s">
        <v>39</v>
      </c>
      <c r="C11" s="2"/>
      <c r="D11" s="2"/>
      <c r="E11" s="3">
        <v>0</v>
      </c>
      <c r="F11" s="3">
        <v>0</v>
      </c>
      <c r="G11" s="2" t="s">
        <v>188</v>
      </c>
      <c r="H11" s="2"/>
    </row>
    <row r="12" spans="1:8">
      <c r="A12" s="2" t="s">
        <v>205</v>
      </c>
      <c r="B12" s="2" t="s">
        <v>39</v>
      </c>
      <c r="C12" s="2"/>
      <c r="D12" s="2"/>
      <c r="E12" s="3">
        <v>0</v>
      </c>
      <c r="F12" s="3">
        <v>0</v>
      </c>
      <c r="G12" s="2" t="s">
        <v>184</v>
      </c>
      <c r="H12" s="2"/>
    </row>
    <row r="13" spans="1:8">
      <c r="A13" s="2" t="s">
        <v>206</v>
      </c>
      <c r="B13" s="2" t="s">
        <v>39</v>
      </c>
      <c r="C13" s="2"/>
      <c r="D13" s="2"/>
      <c r="E13" s="3">
        <v>0</v>
      </c>
      <c r="F13" s="3">
        <v>0</v>
      </c>
      <c r="G13" s="2" t="s">
        <v>179</v>
      </c>
      <c r="H13" s="2"/>
    </row>
    <row r="14" spans="1:8">
      <c r="A14" s="2" t="s">
        <v>81</v>
      </c>
      <c r="B14" s="2" t="s">
        <v>39</v>
      </c>
      <c r="C14" s="2"/>
      <c r="D14" s="2"/>
      <c r="E14" s="3">
        <v>0</v>
      </c>
      <c r="F14" s="3">
        <v>0</v>
      </c>
      <c r="G14" s="2" t="s">
        <v>27</v>
      </c>
      <c r="H14" s="2"/>
    </row>
    <row r="15" spans="1:8">
      <c r="A15" s="2" t="s">
        <v>207</v>
      </c>
      <c r="B15" s="2" t="s">
        <v>39</v>
      </c>
      <c r="C15" s="2"/>
      <c r="D15" s="2"/>
      <c r="E15" s="3">
        <v>0</v>
      </c>
      <c r="F15" s="3">
        <v>0</v>
      </c>
      <c r="G15" s="2" t="s">
        <v>188</v>
      </c>
      <c r="H15" s="2"/>
    </row>
    <row r="16" spans="1:8">
      <c r="A16" s="2" t="s">
        <v>208</v>
      </c>
      <c r="B16" s="2" t="s">
        <v>39</v>
      </c>
      <c r="C16" s="2"/>
      <c r="D16" s="2"/>
      <c r="E16" s="3">
        <v>0</v>
      </c>
      <c r="F16" s="3">
        <v>0</v>
      </c>
      <c r="G16" s="2" t="s">
        <v>188</v>
      </c>
      <c r="H16" s="2"/>
    </row>
    <row r="17" spans="1:8">
      <c r="A17" s="2" t="s">
        <v>209</v>
      </c>
      <c r="B17" s="2" t="s">
        <v>39</v>
      </c>
      <c r="C17" s="2"/>
      <c r="D17" s="2"/>
      <c r="E17" s="3">
        <v>0</v>
      </c>
      <c r="F17" s="3">
        <v>0</v>
      </c>
      <c r="G17" s="2" t="s">
        <v>184</v>
      </c>
      <c r="H17" s="2"/>
    </row>
    <row r="18" spans="1:8">
      <c r="A18" s="2" t="s">
        <v>102</v>
      </c>
      <c r="B18" s="2" t="s">
        <v>39</v>
      </c>
      <c r="C18" s="2"/>
      <c r="D18" s="2"/>
      <c r="E18" s="3">
        <v>0</v>
      </c>
      <c r="F18" s="3">
        <v>0</v>
      </c>
      <c r="G18" s="2" t="s">
        <v>27</v>
      </c>
      <c r="H18" s="2"/>
    </row>
    <row r="19" spans="1:8">
      <c r="A19" s="2" t="s">
        <v>40</v>
      </c>
      <c r="B19" s="2" t="s">
        <v>39</v>
      </c>
      <c r="C19" s="2"/>
      <c r="D19" s="2"/>
      <c r="E19" s="3">
        <v>0</v>
      </c>
      <c r="F19" s="3">
        <v>0</v>
      </c>
      <c r="G19" s="2" t="s">
        <v>27</v>
      </c>
      <c r="H19" s="2"/>
    </row>
    <row r="20" spans="1:8">
      <c r="A20" s="2" t="s">
        <v>92</v>
      </c>
      <c r="B20" s="2" t="s">
        <v>39</v>
      </c>
      <c r="C20" s="2"/>
      <c r="D20" s="2"/>
      <c r="E20" s="3">
        <v>0</v>
      </c>
      <c r="F20" s="3">
        <v>0</v>
      </c>
      <c r="G20" s="2" t="s">
        <v>27</v>
      </c>
      <c r="H20" s="2"/>
    </row>
    <row r="21" spans="1:8">
      <c r="A21" s="2" t="s">
        <v>210</v>
      </c>
      <c r="B21" s="2" t="s">
        <v>39</v>
      </c>
      <c r="C21" s="2"/>
      <c r="D21" s="2"/>
      <c r="E21" s="3">
        <v>0</v>
      </c>
      <c r="F21" s="3">
        <v>0</v>
      </c>
      <c r="G21" s="2" t="s">
        <v>211</v>
      </c>
      <c r="H21" s="2"/>
    </row>
    <row r="22" spans="1:8">
      <c r="A22" s="2" t="s">
        <v>212</v>
      </c>
      <c r="B22" s="2" t="s">
        <v>39</v>
      </c>
      <c r="C22" s="2"/>
      <c r="D22" s="2"/>
      <c r="E22" s="3">
        <v>0</v>
      </c>
      <c r="F22" s="3">
        <v>0</v>
      </c>
      <c r="G22" s="2" t="s">
        <v>27</v>
      </c>
      <c r="H2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213</v>
      </c>
      <c r="E1" s="1" t="s">
        <v>214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215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215</v>
      </c>
    </row>
    <row r="4" spans="1:5">
      <c r="A4" s="2" t="s">
        <v>40</v>
      </c>
      <c r="B4" s="2" t="s">
        <v>43</v>
      </c>
      <c r="C4" s="2" t="s">
        <v>50</v>
      </c>
      <c r="D4" s="2" t="s">
        <v>27</v>
      </c>
      <c r="E4" s="2" t="s">
        <v>215</v>
      </c>
    </row>
    <row r="5" spans="1:5">
      <c r="A5" s="2" t="s">
        <v>51</v>
      </c>
      <c r="B5" s="2" t="s">
        <v>54</v>
      </c>
      <c r="C5" s="2" t="s">
        <v>60</v>
      </c>
      <c r="D5" s="2" t="s">
        <v>27</v>
      </c>
      <c r="E5" s="2" t="s">
        <v>215</v>
      </c>
    </row>
    <row r="6" spans="1:5">
      <c r="A6" s="2" t="s">
        <v>61</v>
      </c>
      <c r="B6" s="2" t="s">
        <v>63</v>
      </c>
      <c r="C6" s="2" t="s">
        <v>70</v>
      </c>
      <c r="D6" s="2" t="s">
        <v>27</v>
      </c>
      <c r="E6" s="2" t="s">
        <v>215</v>
      </c>
    </row>
    <row r="7" spans="1:5">
      <c r="A7" s="2" t="s">
        <v>71</v>
      </c>
      <c r="B7" s="2" t="s">
        <v>73</v>
      </c>
      <c r="C7" s="2" t="s">
        <v>80</v>
      </c>
      <c r="D7" s="2" t="s">
        <v>27</v>
      </c>
      <c r="E7" s="2" t="s">
        <v>215</v>
      </c>
    </row>
    <row r="8" spans="1:5">
      <c r="A8" s="2" t="s">
        <v>81</v>
      </c>
      <c r="B8" s="2" t="s">
        <v>84</v>
      </c>
      <c r="C8" s="2" t="s">
        <v>91</v>
      </c>
      <c r="D8" s="2" t="s">
        <v>27</v>
      </c>
      <c r="E8" s="2" t="s">
        <v>215</v>
      </c>
    </row>
    <row r="9" spans="1:5">
      <c r="A9" s="2" t="s">
        <v>92</v>
      </c>
      <c r="B9" s="2" t="s">
        <v>94</v>
      </c>
      <c r="C9" s="2" t="s">
        <v>101</v>
      </c>
      <c r="D9" s="2" t="s">
        <v>27</v>
      </c>
      <c r="E9" s="2" t="s">
        <v>215</v>
      </c>
    </row>
    <row r="10" spans="1:5">
      <c r="A10" s="2" t="s">
        <v>102</v>
      </c>
      <c r="B10" s="2" t="s">
        <v>104</v>
      </c>
      <c r="C10" s="2" t="s">
        <v>111</v>
      </c>
      <c r="D10" s="2" t="s">
        <v>27</v>
      </c>
      <c r="E10" s="2" t="s">
        <v>215</v>
      </c>
    </row>
    <row r="11" spans="1:5">
      <c r="A11" s="2" t="s">
        <v>112</v>
      </c>
      <c r="B11" s="2" t="s">
        <v>114</v>
      </c>
      <c r="C11" s="2" t="s">
        <v>121</v>
      </c>
      <c r="D11" s="2" t="s">
        <v>27</v>
      </c>
      <c r="E11" s="2" t="s">
        <v>215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216</v>
      </c>
      <c r="B1" s="5"/>
      <c r="C1" s="5"/>
      <c r="D1" s="5"/>
      <c r="E1" s="5"/>
    </row>
    <row r="3" spans="1:5">
      <c r="A3" s="1" t="s">
        <v>217</v>
      </c>
      <c r="B3" s="1" t="s">
        <v>218</v>
      </c>
      <c r="C3" s="2"/>
      <c r="D3" s="1" t="s">
        <v>219</v>
      </c>
      <c r="E3" s="1" t="s">
        <v>218</v>
      </c>
    </row>
    <row r="4" spans="1:5">
      <c r="A4" s="2" t="s">
        <v>39</v>
      </c>
      <c r="B4" s="2">
        <f>COUNTIF(Pipeline!J:J,"Contact Ready")</f>
        <v>0</v>
      </c>
      <c r="D4" s="2" t="s">
        <v>223</v>
      </c>
      <c r="E4" s="3">
        <f>SUM(Pipeline!K:K)</f>
        <v>0</v>
      </c>
    </row>
    <row r="5" spans="1:5">
      <c r="A5" s="2" t="s">
        <v>28</v>
      </c>
      <c r="B5" s="2">
        <f>COUNTIF(Pipeline!J:J,"Contacted")</f>
        <v>0</v>
      </c>
      <c r="D5" s="2" t="s">
        <v>224</v>
      </c>
      <c r="E5" s="3">
        <f>SUM(Pipeline!L:L)</f>
        <v>0</v>
      </c>
    </row>
    <row r="6" spans="1:5">
      <c r="A6" s="2" t="s">
        <v>220</v>
      </c>
      <c r="B6" s="2">
        <f>COUNTIF(Pipeline!J:J,"Replied")</f>
        <v>0</v>
      </c>
      <c r="D6" s="2" t="s">
        <v>225</v>
      </c>
      <c r="E6" s="6">
        <f>IFERROR(COUNTIF(Pipeline!J:J,"Replied")/COUNTIF(Pipeline!D:D,"&lt;&gt;"),0)</f>
        <v>0</v>
      </c>
    </row>
    <row r="7" spans="1:5">
      <c r="A7" s="2" t="s">
        <v>221</v>
      </c>
      <c r="B7" s="2">
        <f>COUNTIF(Pipeline!J:J,"Negotiating")</f>
        <v>0</v>
      </c>
      <c r="D7" s="2" t="s">
        <v>226</v>
      </c>
      <c r="E7" s="6">
        <f>IFERROR(COUNTIF(Pipeline!J:J,"Won/Paid")/COUNTIF(Pipeline!D:D,"&lt;&gt;"),0)</f>
        <v>0</v>
      </c>
    </row>
    <row r="8" spans="1:5">
      <c r="A8" s="2" t="s">
        <v>222</v>
      </c>
      <c r="B8" s="2">
        <f>COUNTIF(Pipeline!J:J,"Won/Paid")</f>
        <v>0</v>
      </c>
    </row>
    <row r="9" spans="1:5">
      <c r="A9" s="2" t="s">
        <v>173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227</v>
      </c>
      <c r="B1" s="1" t="s">
        <v>228</v>
      </c>
    </row>
    <row r="2" spans="1:2">
      <c r="A2" s="2" t="s">
        <v>229</v>
      </c>
      <c r="B2" s="2" t="s">
        <v>230</v>
      </c>
    </row>
    <row r="3" spans="1:2">
      <c r="A3" s="2" t="s">
        <v>231</v>
      </c>
      <c r="B3" s="2" t="s">
        <v>232</v>
      </c>
    </row>
    <row r="4" spans="1:2">
      <c r="A4" s="2" t="s">
        <v>233</v>
      </c>
      <c r="B4" s="2" t="s">
        <v>234</v>
      </c>
    </row>
    <row r="5" spans="1:2">
      <c r="A5" s="2" t="s">
        <v>235</v>
      </c>
      <c r="B5" s="2" t="s">
        <v>236</v>
      </c>
    </row>
    <row r="6" spans="1:2">
      <c r="A6" s="2" t="s">
        <v>237</v>
      </c>
      <c r="B6" s="2" t="s">
        <v>238</v>
      </c>
    </row>
    <row r="7" spans="1:2">
      <c r="A7" s="2" t="s">
        <v>239</v>
      </c>
      <c r="B7" s="2" t="s">
        <v>240</v>
      </c>
    </row>
    <row r="8" spans="1:2">
      <c r="A8" s="2" t="s">
        <v>241</v>
      </c>
      <c r="B8" s="2" t="s">
        <v>242</v>
      </c>
    </row>
    <row r="9" spans="1:2">
      <c r="A9" s="2" t="s">
        <v>243</v>
      </c>
      <c r="B9" s="2" t="s">
        <v>244</v>
      </c>
    </row>
    <row r="10" spans="1:2">
      <c r="A10" s="2" t="s">
        <v>245</v>
      </c>
      <c r="B10" s="2" t="s">
        <v>246</v>
      </c>
    </row>
    <row r="11" spans="1:2">
      <c r="A11" s="2" t="s">
        <v>247</v>
      </c>
      <c r="B11" s="2" t="s">
        <v>248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249</v>
      </c>
      <c r="B1" s="1" t="s">
        <v>250</v>
      </c>
      <c r="C1" s="1" t="s">
        <v>251</v>
      </c>
      <c r="D1" s="1" t="s">
        <v>252</v>
      </c>
      <c r="E1" s="1" t="s">
        <v>253</v>
      </c>
    </row>
    <row r="2" spans="1:5">
      <c r="A2" s="2" t="s">
        <v>27</v>
      </c>
      <c r="B2" s="2" t="s">
        <v>27</v>
      </c>
      <c r="C2" s="2">
        <v>10</v>
      </c>
      <c r="D2" s="2">
        <v>21</v>
      </c>
      <c r="E2" s="2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2026-09-13T00:06:59Z</dcterms:created>
  <dcterms:modified xsi:type="dcterms:W3CDTF">2026-09-13T00:06:59Z</dcterms:modified>
</cp:coreProperties>
</file>