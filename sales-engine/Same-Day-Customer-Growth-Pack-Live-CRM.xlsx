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Pipeline!$A$1:$R$35</definedName>
  </definedNames>
  <calcPr calcId="124519" fullCalcOnLoad="1"/>
</workbook>
</file>

<file path=xl/sharedStrings.xml><?xml version="1.0" encoding="utf-8"?>
<sst xmlns="http://schemas.openxmlformats.org/spreadsheetml/2006/main" count="777" uniqueCount="349">
  <si>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</si>
  <si>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</si>
  <si>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</si>
  <si>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</si>
  <si>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</si>
  <si>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</si>
  <si>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</si>
  <si>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</si>
  <si>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</si>
  <si>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</si>
  <si>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</si>
  <si>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</si>
  <si>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</si>
  <si>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</si>
  <si>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</si>
  <si>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JH Construction</t>
  </si>
  <si>
    <t>General Construction / Remodeling / Residential &amp; Commercial</t>
  </si>
  <si>
    <t>San Francisco Bay Area, CA</t>
  </si>
  <si>
    <t>A</t>
  </si>
  <si>
    <t>Official contact page publishes jh13remodeling@gmail.com, free no-obligation estimates, Monday-Saturday availability and a stated response within 24 hours.</t>
  </si>
  <si>
    <t>jh13remodeling@gmail.com</t>
  </si>
  <si>
    <t>Direct email; free estimate; stated 24-hour response; Saturday hours</t>
  </si>
  <si>
    <t>Turn the 24-hour estimate response into a project-readiness campaign that helps prospects organize project type, scope, timeline, budget questions and permit concerns before the estimate.</t>
  </si>
  <si>
    <t>24-hour project-readiness campaign for JH Construction</t>
  </si>
  <si>
    <t>Hi — I reviewed JH Construction’s current Bay Area estimate flow and noticed you already offer free no-obligation estimates with a stated 24-hour response. I’d turn that into a project-readiness campaign that helps homeowners organize project type, scope, timeline, budget questions and permit concerns before the estimate. Same-Day Customer Growth Pack: $150 flat. Want two JH-specific examples first?</t>
  </si>
  <si>
    <t>https://jhremodel.com/contact</t>
  </si>
  <si>
    <t>2026-09-25</t>
  </si>
  <si>
    <t>Contact Ready</t>
  </si>
  <si>
    <t>Valdivia Roofing</t>
  </si>
  <si>
    <t>Roof Replacement / Repair / Emergency Roofing</t>
  </si>
  <si>
    <t>Morgan Hill / San Jose / Gilroy / Bay Area, CA</t>
  </si>
  <si>
    <t>Official site publishes humberto@valdiviaroofing.com, free estimates, 24/7 emergency service and fast same-day callbacks for estimate requests.</t>
  </si>
  <si>
    <t>humberto@valdiviaroofing.com</t>
  </si>
  <si>
    <t>Direct named email; free estimate; same-day callbacks; 24/7 emergency service</t>
  </si>
  <si>
    <t>Turn the fast-response roofing process into a repair-versus-replacement readiness campaign that helps homeowners identify leaks, roof age, urgency, material questions and inspection needs before the callback.</t>
  </si>
  <si>
    <t>Same-day roofing response campaign for Valdivia Roofing</t>
  </si>
  <si>
    <t>Hi — I reviewed Valdivia Roofing’s current Bay Area estimate flow and noticed you already offer free estimates, 24/7 emergency service and fast same-day callbacks. I’d turn that into a repair-versus-replacement readiness campaign that helps homeowners organize leak symptoms, roof age, urgency and inspection questions before the callback. Same-Day Customer Growth Pack: $150 flat. Want two Valdivia-specific examples first?</t>
  </si>
  <si>
    <t>https://valdiviaroofing.com/services</t>
  </si>
  <si>
    <t>Alderstone Remodeling &amp; Exteriors</t>
  </si>
  <si>
    <t>Remodeling / Exteriors / Home Improvement</t>
  </si>
  <si>
    <t>Northern California</t>
  </si>
  <si>
    <t>Official contact page publishes info@alderstoneremodel.com, free no-obligation in-home consultations and estimates, and says responses arrive within one business day, usually the same day.</t>
  </si>
  <si>
    <t>info@alderstoneremodel.com</t>
  </si>
  <si>
    <t>Direct email; free consultation/estimate; usually same-business-day response</t>
  </si>
  <si>
    <t>Turn the same-day consultation response into an interior-versus-exterior project scoping campaign that helps homeowners organize priorities, existing conditions, desired improvements and timeline before the visit.</t>
  </si>
  <si>
    <t>Same-day project-scoping campaign for Alderstone</t>
  </si>
  <si>
    <t>Hi — I reviewed Alderstone Remodeling &amp; Exteriors’ current consultation flow and noticed you already offer free in-home consultations and usually respond the same business day. I’d turn that into a project-scoping campaign that helps homeowners organize interior versus exterior priorities, existing conditions, desired improvements and timeline before the visit. Same-Day Customer Growth Pack: $150 flat. Want two Alderstone-specific examples first?</t>
  </si>
  <si>
    <t>https://alderstoneremodel.com/contact</t>
  </si>
  <si>
    <t>Visionable Landscaping</t>
  </si>
  <si>
    <t>Landscape Design / Hardscaping / Complete Backyard Remodeling</t>
  </si>
  <si>
    <t>Fremont / East Bay / South Bay / Peninsula, CA</t>
  </si>
  <si>
    <t>Official contact page publishes info@visionablelandscaping.com, free consultations with 3D renderings, consultations seven days a week and a stated response within 24 hours. Complete backyard remodels are listed at a typical $20K–$60K+ range.</t>
  </si>
  <si>
    <t>info@visionablelandscaping.com</t>
  </si>
  <si>
    <t>Direct email; free 3D consultation; stated 24-hour response; seven-day consultations</t>
  </si>
  <si>
    <t>Turn the free 3D consultation into a backyard-project preparation campaign that helps homeowners organize use cases, budget range, photos, desired features and priorities before the design visit.</t>
  </si>
  <si>
    <t>3D backyard consultation campaign for Visionable</t>
  </si>
  <si>
    <t>Hi — I reviewed Visionable Landscaping’s current Fremont consultation flow and noticed you already offer free consultations with 3D renderings and a stated 24-hour response. I’d turn that into a backyard-project preparation campaign that helps homeowners organize use cases, budget range, photos, desired features and priorities before the design visit. Same-Day Customer Growth Pack: $150 flat. Want two Visionable-specific examples first?</t>
  </si>
  <si>
    <t>https://visionablelandscaping.com/contact</t>
  </si>
  <si>
    <t>Seal Home Remodeling</t>
  </si>
  <si>
    <t>Kitchen / Bathroom / Additions / Full-Home Renovations</t>
  </si>
  <si>
    <t>Official site publishes Pham@sealhomeremodeling.com, free consultations and estimates, premium remodeling services and a stated response within 24 hours.</t>
  </si>
  <si>
    <t>Pham@sealhomeremodeling.com</t>
  </si>
  <si>
    <t>Direct named email; free consultation/estimate; stated 24-hour response</t>
  </si>
  <si>
    <t>Turn the premium-remodel consultation into a decision-preparation campaign that helps homeowners organize room priorities, desired finishes, addition needs, timeline and proposal questions before consultation.</t>
  </si>
  <si>
    <t>24-hour remodel consultation campaign for Seal Home Remodeling</t>
  </si>
  <si>
    <t>Hi — I reviewed Seal Home Remodeling’s current Bay Area consultation flow and noticed you already offer free consultations and estimates with a stated 24-hour response. I’d turn that into a remodel decision-preparation campaign that helps homeowners organize room priorities, desired finishes, addition needs, timeline and proposal questions before consultation. Same-Day Customer Growth Pack: $150 flat. Want two Seal-specific examples first?</t>
  </si>
  <si>
    <t>https://sealhomeremodeling.com/</t>
  </si>
  <si>
    <t>ProMan California</t>
  </si>
  <si>
    <t>Construction / Remodeling / Roofing / Siding / Restoration / Home Services</t>
  </si>
  <si>
    <t>California</t>
  </si>
  <si>
    <t>Official contact page publishes info@promancalifornia.com, free in-home estimates, callback-in-minutes positioning, 24/7 emergency service and a broad construction/home-services menu.</t>
  </si>
  <si>
    <t>info@promancalifornia.com</t>
  </si>
  <si>
    <t>Direct email; free estimate; callback-in-minutes positioning; 24/7 emergency service</t>
  </si>
  <si>
    <t>Turn the broad service menu into a service-routing campaign that helps prospects identify project category, urgency, property details and estimate needs before booking.</t>
  </si>
  <si>
    <t>Fast service-routing campaign for ProMan California</t>
  </si>
  <si>
    <t>Hi — I reviewed ProMan California’s current booking flow and noticed you already offer free in-home estimates, callback-in-minutes positioning and a broad construction and home-services menu. I’d turn that into a service-routing campaign that helps prospects identify project category, urgency, property details and estimate needs before booking. Same-Day Customer Growth Pack: $150 flat. Want two ProMan-specific examples first?</t>
  </si>
  <si>
    <t>https://promansiding.com/contact</t>
  </si>
  <si>
    <t>Green Hard Landscape Construction</t>
  </si>
  <si>
    <t>Landscaping / Hardscaping / Outdoor Construction</t>
  </si>
  <si>
    <t>San Jose / Bay Area, CA</t>
  </si>
  <si>
    <t>Official site publishes greenhardscaping@gmail.com, free estimates, free on-site walkthroughs and a stated response within 24 hours across the Bay Area.</t>
  </si>
  <si>
    <t>greenhardscaping@gmail.com</t>
  </si>
  <si>
    <t>Direct email; free estimate; free on-site walkthrough; stated 24-hour response</t>
  </si>
  <si>
    <t>Turn the free walkthrough into an outdoor-project preparation campaign that helps prospects organize service type, preferred timeline, property conditions, desired features and project priorities before the visit.</t>
  </si>
  <si>
    <t>24-hour outdoor-project campaign for Green Hard</t>
  </si>
  <si>
    <t>Hi — I reviewed Green Hard Landscape Construction’s current Bay Area estimate flow and noticed you already offer free on-site walkthroughs and a stated 24-hour response. I’d turn that into an outdoor-project preparation campaign that helps prospects organize service type, preferred timeline, property conditions, desired features and priorities before the visit. Same-Day Customer Growth Pack: $150 flat. Want two Green Hard-specific examples first?</t>
  </si>
  <si>
    <t>https://www.greenhardconstruction.com/</t>
  </si>
  <si>
    <t>Bay Stone Depot</t>
  </si>
  <si>
    <t>Natural Stone / Countertops / Fabrication / Premium Surfaces</t>
  </si>
  <si>
    <t>San Jose, CA</t>
  </si>
  <si>
    <t>Official contact page publishes baystonedepotinc@gmail.com, free consultations and personalized quotes within 24 hours for premium stone, countertops, fabrication and specialty surfaces.</t>
  </si>
  <si>
    <t>baystonedepotinc@gmail.com</t>
  </si>
  <si>
    <t>Direct email; free consultation; personalized quote within 24 hours; Saturday showroom hours</t>
  </si>
  <si>
    <t>Turn the specialist quote process into a premium-surface selection campaign that helps prospects organize project type, approximate budget, material preferences and measurements before consultation.</t>
  </si>
  <si>
    <t>24-hour surface-selection campaign for Bay Stone Depot</t>
  </si>
  <si>
    <t>Hi — I reviewed Bay Stone Depot’s current San Jose quote flow and noticed you already offer free consultations and personalized quotes within 24 hours. I’d turn that into a premium-surface selection campaign that helps prospects organize project type, approximate budget, material preferences and measurements before consultation. Same-Day Customer Growth Pack: $150 flat. Want two Bay Stone-specific examples first?</t>
  </si>
  <si>
    <t>https://baystonedepot.com/contact</t>
  </si>
  <si>
    <t>Home Pro NW</t>
  </si>
  <si>
    <t>Kitchen / Bathroom / ADU / New Construction / Full-Home Renovation</t>
  </si>
  <si>
    <t>Seattle / King County, WA</t>
  </si>
  <si>
    <t>Official site publishes Info@homepronw.com, says it responds to every inquiry within 24 hours, offers complimentary consultations, accepts plans and inspiration files before calls, and states projects start at $50,000.</t>
  </si>
  <si>
    <t>Info@homepronw.com</t>
  </si>
  <si>
    <t>Direct email; stated 24-hour response; complimentary consultation; projects start at $50K</t>
  </si>
  <si>
    <t>Turn the $50K+ consultation process into a high-ticket project-readiness campaign that helps prospects organize plans, inspiration, project type, budget, timeline and investment questions before the call.</t>
  </si>
  <si>
    <t>$50K+ consultation-prep campaign for Home Pro NW</t>
  </si>
  <si>
    <t>Hi — I reviewed Home Pro NW’s current consultation flow and noticed you already focus on projects starting at $50,000, offer complimentary consultations and respond within 24 hours. I’d turn that into a high-ticket project-readiness campaign that helps prospects organize plans, inspiration, project type, budget and timeline before the call. Same-Day Customer Growth Pack: $150 flat. Want two Home Pro NW-specific examples first?</t>
  </si>
  <si>
    <t>https://homepronw.com/</t>
  </si>
  <si>
    <t>Silicon Prime Painting Inc</t>
  </si>
  <si>
    <t>Residential / Commercial Painting / Cabinet Refinishing / Drywall</t>
  </si>
  <si>
    <t>San Jose / Silicon Valley / Bay Area, CA</t>
  </si>
  <si>
    <t>Official site publishes spp@siliconprimepainting.com, free written estimates, Monday-Saturday hours and residential/commercial painting, cabinet refinishing, drywall repair and related services.</t>
  </si>
  <si>
    <t>spp@siliconprimepainting.com</t>
  </si>
  <si>
    <t>Direct email; free written estimate; Monday-Saturday hours</t>
  </si>
  <si>
    <t>Turn the free written-estimate process into a painting-project selector that helps prospects organize surface type, rooms or exterior areas, repair needs, color decisions and scheduling requirements before quoting.</t>
  </si>
  <si>
    <t>Written-estimate campaign for Silicon Prime Painting</t>
  </si>
  <si>
    <t>Hi — I reviewed Silicon Prime Painting’s current Bay Area estimate flow and noticed you already offer free written estimates across residential, commercial, cabinet and drywall work. I’d turn that into a painting-project selector that helps prospects organize surface type, rooms or exterior areas, repair needs, color decisions and scheduling requirements before quoting. Same-Day Customer Growth Pack: $150 flat. Want two Silicon Prime-specific examples first?</t>
  </si>
  <si>
    <t>https://siliconprimepaintinginc.com/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</si>
  <si>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</si>
  <si>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</si>
  <si>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</si>
  <si>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</si>
  <si>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</si>
  <si>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</si>
  <si>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</si>
  <si>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</si>
  <si>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</si>
  <si>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</si>
  <si>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</si>
  <si>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</si>
  <si>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</si>
  <si>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</si>
  <si>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</si>
  <si>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</si>
  <si>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</si>
  <si>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</si>
  <si>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</si>
  <si>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</si>
  <si>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</si>
  <si>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</si>
  <si>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</si>
  <si>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</si>
  <si>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</si>
  <si>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</si>
  <si>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</si>
  <si>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</si>
  <si>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</si>
  <si>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</si>
  <si>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</si>
  <si>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</si>
  <si>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</si>
  <si>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</si>
  <si>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</si>
  <si>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</si>
  <si>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</si>
  <si>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</si>
  <si>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</si>
  <si>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</si>
  <si>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</si>
  <si>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</si>
  <si>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</si>
  <si>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</si>
  <si>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</si>
  <si>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</si>
  <si>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</si>
  <si>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</si>
  <si>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</si>
  <si>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</si>
  <si>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</si>
  <si>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</si>
  <si>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</si>
  <si>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</si>
  <si>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</si>
  <si>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</si>
  <si>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</si>
  <si>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</si>
  <si>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</si>
  <si>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</si>
  <si>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</si>
  <si>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</si>
  <si>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</si>
  <si>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</si>
  <si>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</si>
  <si>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</si>
  <si>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</si>
  <si>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</si>
  <si>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</si>
  <si>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</si>
  <si>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</si>
  <si>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</si>
  <si>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</si>
  <si>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</si>
  <si>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</si>
  <si>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</si>
  <si>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</si>
  <si>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</si>
  <si>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</si>
  <si>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</si>
  <si>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</si>
  <si>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</si>
  <si>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</si>
  <si>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</si>
  <si>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</si>
  <si>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</si>
  <si>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</si>
  <si>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</si>
  <si>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</si>
  <si>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</si>
  <si>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</si>
  <si>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</si>
  <si>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</si>
  <si>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</si>
  <si>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</si>
  <si>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</si>
  <si>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</si>
  <si>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</si>
  <si>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</si>
  <si>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</si>
  <si>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</si>
  <si>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</si>
  <si>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</si>
  <si>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HB Design &amp; Construction</t>
  </si>
  <si>
    <t>2026-09-18T16:24:00-07:00</t>
  </si>
  <si>
    <t>2026-09-21</t>
  </si>
  <si>
    <t>Wait for reply. If no reply, eligible for respectful S02 follow-up on/after 2026-09-21; stop sooner on decline or opt-out.</t>
  </si>
  <si>
    <t>QualiBuild LLC</t>
  </si>
  <si>
    <t>Redwood Roofing</t>
  </si>
  <si>
    <t>Premier Roofing &amp; Retro-Fit</t>
  </si>
  <si>
    <t>Make It Simple Construction, Inc.</t>
  </si>
  <si>
    <t>BLUECON</t>
  </si>
  <si>
    <t>Blues Bros</t>
  </si>
  <si>
    <t>Home Quality Remodeling</t>
  </si>
  <si>
    <t>Imperia Roofing &amp; Exteriors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</si>
  <si>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</si>
  <si>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</si>
  <si>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</si>
  <si>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</si>
  <si>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</si>
  <si>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</si>
  <si>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</si>
  <si>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</si>
  <si>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</si>
  <si>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</si>
  <si>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</si>
  <si>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</si>
  <si>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</si>
  <si>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</si>
  <si>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</si>
  <si>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</si>
  <si>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</si>
  <si>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</si>
  <si>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</si>
  <si>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</si>
  <si>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</si>
  <si>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</si>
  <si>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</si>
  <si>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</si>
  <si>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</si>
  <si>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</si>
  <si>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</si>
  <si>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</si>
  <si>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</si>
  <si>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</si>
  <si>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</si>
  <si>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</si>
  <si>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</si>
  <si>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</si>
  <si>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</si>
  <si>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Silicon Valley Chimney Sweep</t>
  </si>
  <si>
    <t>Gmail sent message 1a0b6d7d1bb96f3a</t>
  </si>
  <si>
    <t>Delivery Failed</t>
  </si>
  <si>
    <t>Do not count as successfully contacted. Official site still publishes info@svchimneysweep.com, but Gmail returned a hard bounce. Reverify or use the official website inquiry route; do not resend to the bounced address.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</si>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</sst>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hremodel.com/contact" TargetMode="External"/><Relationship Id="rId2" Type="http://schemas.openxmlformats.org/officeDocument/2006/relationships/hyperlink" Target="https://valdiviaroofing.com/services" TargetMode="External"/><Relationship Id="rId3" Type="http://schemas.openxmlformats.org/officeDocument/2006/relationships/hyperlink" Target="https://alderstoneremodel.com/contact" TargetMode="External"/><Relationship Id="rId4" Type="http://schemas.openxmlformats.org/officeDocument/2006/relationships/hyperlink" Target="https://visionablelandscaping.com/contact" TargetMode="External"/><Relationship Id="rId5" Type="http://schemas.openxmlformats.org/officeDocument/2006/relationships/hyperlink" Target="https://sealhomeremodeling.com/" TargetMode="External"/><Relationship Id="rId6" Type="http://schemas.openxmlformats.org/officeDocument/2006/relationships/hyperlink" Target="https://promansiding.com/contact" TargetMode="External"/><Relationship Id="rId7" Type="http://schemas.openxmlformats.org/officeDocument/2006/relationships/hyperlink" Target="https://www.greenhardconstruction.com/" TargetMode="External"/><Relationship Id="rId8" Type="http://schemas.openxmlformats.org/officeDocument/2006/relationships/hyperlink" Target="https://baystonedepot.com/contact" TargetMode="External"/><Relationship Id="rId9" Type="http://schemas.openxmlformats.org/officeDocument/2006/relationships/hyperlink" Target="https://homepronw.com/" TargetMode="External"/><Relationship Id="rId10" Type="http://schemas.openxmlformats.org/officeDocument/2006/relationships/hyperlink" Target="https://siliconprimepaintingin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17</v>
      </c>
      <c r="E6" s="2" t="s">
        <v>18</v>
      </c>
      <c r="F6" s="2" t="s">
        <v>60</v>
      </c>
      <c r="G6" s="2"/>
      <c r="H6" s="2" t="s">
        <v>61</v>
      </c>
      <c r="I6" s="2" t="s">
        <v>62</v>
      </c>
      <c r="J6" s="2" t="s">
        <v>63</v>
      </c>
      <c r="K6" s="2" t="s">
        <v>64</v>
      </c>
      <c r="L6" s="2" t="s">
        <v>65</v>
      </c>
      <c r="M6" s="2" t="s">
        <v>66</v>
      </c>
      <c r="N6" s="2" t="s">
        <v>26</v>
      </c>
      <c r="O6" s="2" t="s">
        <v>27</v>
      </c>
    </row>
    <row r="7" spans="1:15">
      <c r="A7" s="2">
        <v>6</v>
      </c>
      <c r="B7" s="2" t="s">
        <v>67</v>
      </c>
      <c r="C7" s="2" t="s">
        <v>68</v>
      </c>
      <c r="D7" s="2" t="s">
        <v>69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78</v>
      </c>
      <c r="D8" s="2" t="s">
        <v>79</v>
      </c>
      <c r="E8" s="2" t="s">
        <v>18</v>
      </c>
      <c r="F8" s="2" t="s">
        <v>80</v>
      </c>
      <c r="G8" s="2"/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26</v>
      </c>
      <c r="O8" s="2" t="s">
        <v>27</v>
      </c>
    </row>
    <row r="9" spans="1:15">
      <c r="A9" s="2">
        <v>8</v>
      </c>
      <c r="B9" s="2" t="s">
        <v>87</v>
      </c>
      <c r="C9" s="2" t="s">
        <v>88</v>
      </c>
      <c r="D9" s="2" t="s">
        <v>89</v>
      </c>
      <c r="E9" s="2" t="s">
        <v>18</v>
      </c>
      <c r="F9" s="2" t="s">
        <v>90</v>
      </c>
      <c r="G9" s="2"/>
      <c r="H9" s="2" t="s">
        <v>91</v>
      </c>
      <c r="I9" s="2" t="s">
        <v>92</v>
      </c>
      <c r="J9" s="2" t="s">
        <v>93</v>
      </c>
      <c r="K9" s="2" t="s">
        <v>94</v>
      </c>
      <c r="L9" s="2" t="s">
        <v>95</v>
      </c>
      <c r="M9" s="2" t="s">
        <v>96</v>
      </c>
      <c r="N9" s="2" t="s">
        <v>26</v>
      </c>
      <c r="O9" s="2" t="s">
        <v>27</v>
      </c>
    </row>
    <row r="10" spans="1:15">
      <c r="A10" s="2">
        <v>9</v>
      </c>
      <c r="B10" s="2" t="s">
        <v>97</v>
      </c>
      <c r="C10" s="2" t="s">
        <v>98</v>
      </c>
      <c r="D10" s="2" t="s">
        <v>99</v>
      </c>
      <c r="E10" s="2" t="s">
        <v>18</v>
      </c>
      <c r="F10" s="2" t="s">
        <v>100</v>
      </c>
      <c r="G10" s="2"/>
      <c r="H10" s="2" t="s">
        <v>101</v>
      </c>
      <c r="I10" s="2" t="s">
        <v>102</v>
      </c>
      <c r="J10" s="2" t="s">
        <v>103</v>
      </c>
      <c r="K10" s="2" t="s">
        <v>104</v>
      </c>
      <c r="L10" s="2" t="s">
        <v>105</v>
      </c>
      <c r="M10" s="2" t="s">
        <v>106</v>
      </c>
      <c r="N10" s="2" t="s">
        <v>26</v>
      </c>
      <c r="O10" s="2" t="s">
        <v>27</v>
      </c>
    </row>
    <row r="11" spans="1:15">
      <c r="A11" s="2">
        <v>10</v>
      </c>
      <c r="B11" s="2" t="s">
        <v>107</v>
      </c>
      <c r="C11" s="2" t="s">
        <v>108</v>
      </c>
      <c r="D11" s="2" t="s">
        <v>109</v>
      </c>
      <c r="E11" s="2" t="s">
        <v>18</v>
      </c>
      <c r="F11" s="2" t="s">
        <v>110</v>
      </c>
      <c r="G11" s="2"/>
      <c r="H11" s="2" t="s">
        <v>111</v>
      </c>
      <c r="I11" s="2" t="s">
        <v>112</v>
      </c>
      <c r="J11" s="2" t="s">
        <v>113</v>
      </c>
      <c r="K11" s="2" t="s">
        <v>114</v>
      </c>
      <c r="L11" s="2" t="s">
        <v>115</v>
      </c>
      <c r="M11" s="2" t="s">
        <v>116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117</v>
      </c>
      <c r="B1" s="1" t="s">
        <v>118</v>
      </c>
      <c r="C1" s="1" t="s">
        <v>119</v>
      </c>
      <c r="D1" s="1" t="s">
        <v>120</v>
      </c>
    </row>
    <row r="2" spans="1:4">
      <c r="A2" s="2" t="s">
        <v>121</v>
      </c>
      <c r="B2" s="2" t="s">
        <v>122</v>
      </c>
      <c r="C2" s="2" t="s">
        <v>123</v>
      </c>
      <c r="D2" s="2" t="s">
        <v>124</v>
      </c>
    </row>
    <row r="3" spans="1:4">
      <c r="A3" s="2" t="s">
        <v>125</v>
      </c>
      <c r="B3" s="2" t="s">
        <v>126</v>
      </c>
      <c r="C3" s="2" t="s">
        <v>127</v>
      </c>
      <c r="D3" s="2" t="s">
        <v>128</v>
      </c>
    </row>
    <row r="4" spans="1:4">
      <c r="A4" s="2" t="s">
        <v>129</v>
      </c>
      <c r="B4" s="2" t="s">
        <v>130</v>
      </c>
      <c r="C4" s="2" t="s">
        <v>131</v>
      </c>
      <c r="D4" s="2" t="s">
        <v>132</v>
      </c>
    </row>
    <row r="5" spans="1:4">
      <c r="A5" s="2" t="s">
        <v>133</v>
      </c>
      <c r="B5" s="2" t="s">
        <v>134</v>
      </c>
      <c r="C5" s="2" t="s">
        <v>135</v>
      </c>
      <c r="D5" s="2" t="s">
        <v>136</v>
      </c>
    </row>
    <row r="6" spans="1:4">
      <c r="A6" s="2" t="s">
        <v>137</v>
      </c>
      <c r="B6" s="2" t="s">
        <v>138</v>
      </c>
      <c r="C6" s="2" t="s">
        <v>139</v>
      </c>
      <c r="D6" s="2" t="s">
        <v>140</v>
      </c>
    </row>
    <row r="7" spans="1:4">
      <c r="A7" s="2" t="s">
        <v>141</v>
      </c>
      <c r="B7" s="2" t="s">
        <v>142</v>
      </c>
      <c r="C7" s="2" t="s">
        <v>143</v>
      </c>
      <c r="D7" s="2" t="s">
        <v>144</v>
      </c>
    </row>
    <row r="8" spans="1:4">
      <c r="A8" s="2" t="s">
        <v>145</v>
      </c>
      <c r="B8" s="2" t="s">
        <v>146</v>
      </c>
      <c r="C8" s="2" t="s">
        <v>147</v>
      </c>
      <c r="D8" s="2" t="s">
        <v>148</v>
      </c>
    </row>
    <row r="9" spans="1:4">
      <c r="A9" s="2" t="s">
        <v>149</v>
      </c>
      <c r="B9" s="2" t="s">
        <v>150</v>
      </c>
      <c r="C9" s="2" t="s">
        <v>151</v>
      </c>
      <c r="D9" s="2" t="s">
        <v>152</v>
      </c>
    </row>
    <row r="10" spans="1:4">
      <c r="A10" s="2" t="s">
        <v>153</v>
      </c>
      <c r="B10" s="2" t="s">
        <v>154</v>
      </c>
      <c r="C10" s="2" t="s">
        <v>155</v>
      </c>
      <c r="D10" s="2" t="s">
        <v>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157</v>
      </c>
      <c r="B1" s="1" t="s">
        <v>158</v>
      </c>
      <c r="C1" s="1" t="s">
        <v>159</v>
      </c>
      <c r="D1" s="1" t="s">
        <v>160</v>
      </c>
      <c r="E1" s="1" t="s">
        <v>161</v>
      </c>
      <c r="F1" s="1" t="s">
        <v>162</v>
      </c>
      <c r="G1" s="1" t="s">
        <v>163</v>
      </c>
      <c r="H1" s="1" t="s">
        <v>164</v>
      </c>
      <c r="I1" s="1" t="s">
        <v>165</v>
      </c>
      <c r="J1" s="1" t="s">
        <v>118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172</v>
      </c>
      <c r="R1" s="1" t="s">
        <v>173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/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61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/>
      <c r="O6" s="2"/>
      <c r="P6" s="2" t="s">
        <v>26</v>
      </c>
      <c r="Q6" s="2" t="s">
        <v>66</v>
      </c>
      <c r="R6" s="3">
        <v>150</v>
      </c>
    </row>
    <row r="7" spans="1:18">
      <c r="A7" s="2" t="s">
        <v>67</v>
      </c>
      <c r="B7" s="2">
        <v>6</v>
      </c>
      <c r="C7" s="2" t="s">
        <v>71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/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81</v>
      </c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86</v>
      </c>
      <c r="R8" s="3">
        <v>150</v>
      </c>
    </row>
    <row r="9" spans="1:18">
      <c r="A9" s="2" t="s">
        <v>87</v>
      </c>
      <c r="B9" s="2">
        <v>8</v>
      </c>
      <c r="C9" s="2" t="s">
        <v>91</v>
      </c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96</v>
      </c>
      <c r="R9" s="3">
        <v>150</v>
      </c>
    </row>
    <row r="10" spans="1:18">
      <c r="A10" s="2" t="s">
        <v>97</v>
      </c>
      <c r="B10" s="2">
        <v>9</v>
      </c>
      <c r="C10" s="2" t="s">
        <v>101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/>
      <c r="O10" s="2"/>
      <c r="P10" s="2" t="s">
        <v>26</v>
      </c>
      <c r="Q10" s="2" t="s">
        <v>106</v>
      </c>
      <c r="R10" s="3">
        <v>150</v>
      </c>
    </row>
    <row r="11" spans="1:18">
      <c r="A11" s="2" t="s">
        <v>107</v>
      </c>
      <c r="B11" s="2">
        <v>10</v>
      </c>
      <c r="C11" s="2" t="s">
        <v>111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116</v>
      </c>
      <c r="R11" s="3">
        <v>150</v>
      </c>
    </row>
    <row r="12" spans="1:18">
      <c r="A12" s="2" t="s">
        <v>174</v>
      </c>
      <c r="B12" s="2" t="s">
        <v>175</v>
      </c>
      <c r="C12" s="2" t="s">
        <v>176</v>
      </c>
      <c r="D12" s="2" t="s">
        <v>177</v>
      </c>
      <c r="E12" s="2" t="s">
        <v>178</v>
      </c>
      <c r="F12" s="2" t="s">
        <v>179</v>
      </c>
      <c r="G12" s="2"/>
      <c r="H12" s="2"/>
      <c r="I12" s="2"/>
      <c r="J12" s="2" t="s">
        <v>180</v>
      </c>
      <c r="K12" s="3">
        <v>0</v>
      </c>
      <c r="L12" s="3">
        <v>0</v>
      </c>
      <c r="M12" s="2"/>
      <c r="N12" s="2" t="s">
        <v>181</v>
      </c>
      <c r="O12" s="2"/>
      <c r="P12" s="2"/>
      <c r="Q12" s="2"/>
      <c r="R12" s="3">
        <v>150</v>
      </c>
    </row>
    <row r="13" spans="1:18">
      <c r="A13" s="2" t="s">
        <v>182</v>
      </c>
      <c r="B13" s="2" t="s">
        <v>175</v>
      </c>
      <c r="C13" s="2" t="s">
        <v>176</v>
      </c>
      <c r="D13" s="2" t="s">
        <v>183</v>
      </c>
      <c r="E13" s="2" t="s">
        <v>184</v>
      </c>
      <c r="F13" s="2" t="s">
        <v>185</v>
      </c>
      <c r="G13" s="2" t="s">
        <v>184</v>
      </c>
      <c r="H13" s="2" t="s">
        <v>186</v>
      </c>
      <c r="I13" s="2"/>
      <c r="J13" s="2" t="s">
        <v>180</v>
      </c>
      <c r="K13" s="3">
        <v>0</v>
      </c>
      <c r="L13" s="3">
        <v>0</v>
      </c>
      <c r="M13" s="2"/>
      <c r="N13" s="2" t="s">
        <v>187</v>
      </c>
      <c r="O13" s="2"/>
      <c r="P13" s="2"/>
      <c r="Q13" s="2"/>
      <c r="R13" s="3">
        <v>150</v>
      </c>
    </row>
    <row r="14" spans="1:18">
      <c r="A14" s="2" t="s">
        <v>188</v>
      </c>
      <c r="B14" s="2" t="s">
        <v>175</v>
      </c>
      <c r="C14" s="2" t="s">
        <v>176</v>
      </c>
      <c r="D14" s="2" t="s">
        <v>189</v>
      </c>
      <c r="E14" s="2" t="s">
        <v>190</v>
      </c>
      <c r="F14" s="2"/>
      <c r="G14" s="2"/>
      <c r="H14" s="2"/>
      <c r="I14" s="2"/>
      <c r="J14" s="2" t="s">
        <v>180</v>
      </c>
      <c r="K14" s="3">
        <v>0</v>
      </c>
      <c r="L14" s="3">
        <v>0</v>
      </c>
      <c r="M14" s="2"/>
      <c r="N14" s="2" t="s">
        <v>191</v>
      </c>
      <c r="O14" s="2"/>
      <c r="P14" s="2"/>
      <c r="Q14" s="2"/>
      <c r="R14" s="3">
        <v>150</v>
      </c>
    </row>
    <row r="15" spans="1:18">
      <c r="A15" s="2" t="s">
        <v>192</v>
      </c>
      <c r="B15" s="2" t="s">
        <v>175</v>
      </c>
      <c r="C15" s="2" t="s">
        <v>176</v>
      </c>
      <c r="D15" s="2" t="s">
        <v>193</v>
      </c>
      <c r="E15" s="2" t="s">
        <v>190</v>
      </c>
      <c r="F15" s="2"/>
      <c r="G15" s="2"/>
      <c r="H15" s="2"/>
      <c r="I15" s="2"/>
      <c r="J15" s="2" t="s">
        <v>180</v>
      </c>
      <c r="K15" s="3">
        <v>0</v>
      </c>
      <c r="L15" s="3">
        <v>0</v>
      </c>
      <c r="M15" s="2"/>
      <c r="N15" s="2" t="s">
        <v>191</v>
      </c>
      <c r="O15" s="2"/>
      <c r="P15" s="2"/>
      <c r="Q15" s="2"/>
      <c r="R15" s="3">
        <v>150</v>
      </c>
    </row>
    <row r="16" spans="1:18">
      <c r="A16" s="2" t="s">
        <v>194</v>
      </c>
      <c r="B16" s="2" t="s">
        <v>175</v>
      </c>
      <c r="C16" s="2" t="s">
        <v>176</v>
      </c>
      <c r="D16" s="2" t="s">
        <v>195</v>
      </c>
      <c r="E16" s="2" t="s">
        <v>190</v>
      </c>
      <c r="F16" s="2"/>
      <c r="G16" s="2"/>
      <c r="H16" s="2"/>
      <c r="I16" s="2"/>
      <c r="J16" s="2" t="s">
        <v>180</v>
      </c>
      <c r="K16" s="3">
        <v>0</v>
      </c>
      <c r="L16" s="3">
        <v>0</v>
      </c>
      <c r="M16" s="2"/>
      <c r="N16" s="2" t="s">
        <v>196</v>
      </c>
      <c r="O16" s="2"/>
      <c r="P16" s="2"/>
      <c r="Q16" s="2"/>
      <c r="R16" s="3">
        <v>150</v>
      </c>
    </row>
    <row r="17" spans="1:18">
      <c r="A17" s="2" t="s">
        <v>197</v>
      </c>
      <c r="B17" s="2" t="s">
        <v>175</v>
      </c>
      <c r="C17" s="2" t="s">
        <v>176</v>
      </c>
      <c r="D17" s="2" t="s">
        <v>198</v>
      </c>
      <c r="E17" s="2" t="s">
        <v>199</v>
      </c>
      <c r="F17" s="2"/>
      <c r="G17" s="2"/>
      <c r="H17" s="2"/>
      <c r="I17" s="2"/>
      <c r="J17" s="2" t="s">
        <v>180</v>
      </c>
      <c r="K17" s="3">
        <v>0</v>
      </c>
      <c r="L17" s="3">
        <v>0</v>
      </c>
      <c r="M17" s="2"/>
      <c r="N17" s="2" t="s">
        <v>196</v>
      </c>
      <c r="O17" s="2"/>
      <c r="P17" s="2"/>
      <c r="Q17" s="2"/>
      <c r="R17" s="3">
        <v>150</v>
      </c>
    </row>
    <row r="18" spans="1:18">
      <c r="A18" s="2" t="s">
        <v>200</v>
      </c>
      <c r="B18" s="2" t="s">
        <v>175</v>
      </c>
      <c r="C18" s="2" t="s">
        <v>176</v>
      </c>
      <c r="D18" s="2" t="s">
        <v>201</v>
      </c>
      <c r="E18" s="2" t="s">
        <v>199</v>
      </c>
      <c r="F18" s="2"/>
      <c r="G18" s="2"/>
      <c r="H18" s="2"/>
      <c r="I18" s="2"/>
      <c r="J18" s="2" t="s">
        <v>180</v>
      </c>
      <c r="K18" s="3">
        <v>0</v>
      </c>
      <c r="L18" s="3">
        <v>0</v>
      </c>
      <c r="M18" s="2"/>
      <c r="N18" s="2" t="s">
        <v>196</v>
      </c>
      <c r="O18" s="2"/>
      <c r="P18" s="2"/>
      <c r="Q18" s="2"/>
      <c r="R18" s="3">
        <v>150</v>
      </c>
    </row>
    <row r="19" spans="1:18">
      <c r="A19" s="2" t="s">
        <v>202</v>
      </c>
      <c r="B19" s="2" t="s">
        <v>175</v>
      </c>
      <c r="C19" s="2" t="s">
        <v>176</v>
      </c>
      <c r="D19" s="2" t="s">
        <v>203</v>
      </c>
      <c r="E19" s="2" t="s">
        <v>199</v>
      </c>
      <c r="F19" s="2"/>
      <c r="G19" s="2"/>
      <c r="H19" s="2"/>
      <c r="I19" s="2"/>
      <c r="J19" s="2" t="s">
        <v>180</v>
      </c>
      <c r="K19" s="3">
        <v>0</v>
      </c>
      <c r="L19" s="3">
        <v>0</v>
      </c>
      <c r="M19" s="2"/>
      <c r="N19" s="2" t="s">
        <v>196</v>
      </c>
      <c r="O19" s="2"/>
      <c r="P19" s="2"/>
      <c r="Q19" s="2"/>
      <c r="R19" s="3">
        <v>150</v>
      </c>
    </row>
    <row r="20" spans="1:18">
      <c r="A20" s="2" t="s">
        <v>204</v>
      </c>
      <c r="B20" s="2" t="s">
        <v>175</v>
      </c>
      <c r="C20" s="2" t="s">
        <v>176</v>
      </c>
      <c r="D20" s="2" t="s">
        <v>205</v>
      </c>
      <c r="E20" s="2" t="s">
        <v>199</v>
      </c>
      <c r="F20" s="2"/>
      <c r="G20" s="2"/>
      <c r="H20" s="2"/>
      <c r="I20" s="2"/>
      <c r="J20" s="2" t="s">
        <v>180</v>
      </c>
      <c r="K20" s="3">
        <v>0</v>
      </c>
      <c r="L20" s="3">
        <v>0</v>
      </c>
      <c r="M20" s="2"/>
      <c r="N20" s="2" t="s">
        <v>196</v>
      </c>
      <c r="O20" s="2"/>
      <c r="P20" s="2"/>
      <c r="Q20" s="2"/>
      <c r="R20" s="3">
        <v>150</v>
      </c>
    </row>
    <row r="21" spans="1:18">
      <c r="A21" s="2" t="s">
        <v>206</v>
      </c>
      <c r="B21" s="2" t="s">
        <v>175</v>
      </c>
      <c r="C21" s="2" t="s">
        <v>176</v>
      </c>
      <c r="D21" s="2" t="s">
        <v>207</v>
      </c>
      <c r="E21" s="2" t="s">
        <v>199</v>
      </c>
      <c r="F21" s="2"/>
      <c r="G21" s="2"/>
      <c r="H21" s="2"/>
      <c r="I21" s="2"/>
      <c r="J21" s="2" t="s">
        <v>180</v>
      </c>
      <c r="K21" s="3">
        <v>0</v>
      </c>
      <c r="L21" s="3">
        <v>0</v>
      </c>
      <c r="M21" s="2"/>
      <c r="N21" s="2" t="s">
        <v>196</v>
      </c>
      <c r="O21" s="2"/>
      <c r="P21" s="2"/>
      <c r="Q21" s="2"/>
      <c r="R21" s="3">
        <v>150</v>
      </c>
    </row>
    <row r="22" spans="1:18">
      <c r="A22" s="2" t="s">
        <v>208</v>
      </c>
      <c r="B22" s="2" t="s">
        <v>175</v>
      </c>
      <c r="C22" s="2" t="s">
        <v>176</v>
      </c>
      <c r="D22" s="2" t="s">
        <v>209</v>
      </c>
      <c r="E22" s="2" t="s">
        <v>190</v>
      </c>
      <c r="F22" s="2" t="s">
        <v>210</v>
      </c>
      <c r="G22" s="2"/>
      <c r="H22" s="2"/>
      <c r="I22" s="2"/>
      <c r="J22" s="2" t="s">
        <v>180</v>
      </c>
      <c r="K22" s="3">
        <v>0</v>
      </c>
      <c r="L22" s="3">
        <v>0</v>
      </c>
      <c r="M22" s="2"/>
      <c r="N22" s="2" t="s">
        <v>211</v>
      </c>
      <c r="O22" s="2"/>
      <c r="P22" s="2"/>
      <c r="Q22" s="2"/>
      <c r="R22" s="3">
        <v>150</v>
      </c>
    </row>
    <row r="23" spans="1:18">
      <c r="A23" s="2" t="s">
        <v>212</v>
      </c>
      <c r="B23" s="2" t="s">
        <v>175</v>
      </c>
      <c r="C23" s="2" t="s">
        <v>176</v>
      </c>
      <c r="D23" s="2" t="s">
        <v>213</v>
      </c>
      <c r="E23" s="2" t="s">
        <v>190</v>
      </c>
      <c r="F23" s="2"/>
      <c r="G23" s="2"/>
      <c r="H23" s="2"/>
      <c r="I23" s="2"/>
      <c r="J23" s="2" t="s">
        <v>180</v>
      </c>
      <c r="K23" s="3">
        <v>0</v>
      </c>
      <c r="L23" s="3">
        <v>0</v>
      </c>
      <c r="M23" s="2"/>
      <c r="N23" s="2" t="s">
        <v>196</v>
      </c>
      <c r="O23" s="2"/>
      <c r="P23" s="2"/>
      <c r="Q23" s="2"/>
      <c r="R23" s="3">
        <v>150</v>
      </c>
    </row>
    <row r="24" spans="1:18">
      <c r="A24" s="2" t="s">
        <v>214</v>
      </c>
      <c r="B24" s="2" t="s">
        <v>175</v>
      </c>
      <c r="C24" s="2" t="s">
        <v>176</v>
      </c>
      <c r="D24" s="2" t="s">
        <v>215</v>
      </c>
      <c r="E24" s="2" t="s">
        <v>190</v>
      </c>
      <c r="F24" s="2"/>
      <c r="G24" s="2"/>
      <c r="H24" s="2"/>
      <c r="I24" s="2"/>
      <c r="J24" s="2" t="s">
        <v>180</v>
      </c>
      <c r="K24" s="3">
        <v>0</v>
      </c>
      <c r="L24" s="3">
        <v>0</v>
      </c>
      <c r="M24" s="2"/>
      <c r="N24" s="2" t="s">
        <v>196</v>
      </c>
      <c r="O24" s="2"/>
      <c r="P24" s="2"/>
      <c r="Q24" s="2"/>
      <c r="R24" s="3">
        <v>150</v>
      </c>
    </row>
    <row r="25" spans="1:18">
      <c r="A25" s="2" t="s">
        <v>216</v>
      </c>
      <c r="B25" s="2" t="s">
        <v>175</v>
      </c>
      <c r="C25" s="2" t="s">
        <v>176</v>
      </c>
      <c r="D25" s="2" t="s">
        <v>217</v>
      </c>
      <c r="E25" s="2" t="s">
        <v>190</v>
      </c>
      <c r="F25" s="2"/>
      <c r="G25" s="2"/>
      <c r="H25" s="2"/>
      <c r="I25" s="2"/>
      <c r="J25" s="2" t="s">
        <v>180</v>
      </c>
      <c r="K25" s="3">
        <v>0</v>
      </c>
      <c r="L25" s="3">
        <v>0</v>
      </c>
      <c r="M25" s="2"/>
      <c r="N25" s="2" t="s">
        <v>196</v>
      </c>
      <c r="O25" s="2"/>
      <c r="P25" s="2"/>
      <c r="Q25" s="2"/>
      <c r="R25" s="3">
        <v>150</v>
      </c>
    </row>
    <row r="26" spans="1:18">
      <c r="A26" s="2" t="s">
        <v>218</v>
      </c>
      <c r="B26" s="2" t="s">
        <v>175</v>
      </c>
      <c r="C26" s="2" t="s">
        <v>176</v>
      </c>
      <c r="D26" s="2" t="s">
        <v>219</v>
      </c>
      <c r="E26" s="2" t="s">
        <v>190</v>
      </c>
      <c r="F26" s="2"/>
      <c r="G26" s="2"/>
      <c r="H26" s="2"/>
      <c r="I26" s="2"/>
      <c r="J26" s="2" t="s">
        <v>180</v>
      </c>
      <c r="K26" s="3">
        <v>0</v>
      </c>
      <c r="L26" s="3">
        <v>0</v>
      </c>
      <c r="M26" s="2"/>
      <c r="N26" s="2" t="s">
        <v>196</v>
      </c>
      <c r="O26" s="2"/>
      <c r="P26" s="2"/>
      <c r="Q26" s="2"/>
      <c r="R26" s="3">
        <v>150</v>
      </c>
    </row>
    <row r="27" spans="1:18">
      <c r="A27" s="2" t="s">
        <v>220</v>
      </c>
      <c r="B27" s="2" t="s">
        <v>175</v>
      </c>
      <c r="C27" s="2" t="s">
        <v>176</v>
      </c>
      <c r="D27" s="2" t="s">
        <v>221</v>
      </c>
      <c r="E27" s="2" t="s">
        <v>222</v>
      </c>
      <c r="F27" s="2"/>
      <c r="G27" s="2"/>
      <c r="H27" s="2"/>
      <c r="I27" s="2"/>
      <c r="J27" s="2" t="s">
        <v>180</v>
      </c>
      <c r="K27" s="3">
        <v>0</v>
      </c>
      <c r="L27" s="3">
        <v>0</v>
      </c>
      <c r="M27" s="2"/>
      <c r="N27" s="2" t="s">
        <v>223</v>
      </c>
      <c r="O27" s="2"/>
      <c r="P27" s="2"/>
      <c r="Q27" s="2"/>
      <c r="R27" s="3">
        <v>150</v>
      </c>
    </row>
    <row r="28" spans="1:18">
      <c r="A28" s="2" t="s">
        <v>224</v>
      </c>
      <c r="B28" s="2" t="s">
        <v>175</v>
      </c>
      <c r="C28" s="2" t="s">
        <v>176</v>
      </c>
      <c r="D28" s="2" t="s">
        <v>221</v>
      </c>
      <c r="E28" s="2" t="s">
        <v>222</v>
      </c>
      <c r="F28" s="2"/>
      <c r="G28" s="2"/>
      <c r="H28" s="2"/>
      <c r="I28" s="2"/>
      <c r="J28" s="2" t="s">
        <v>180</v>
      </c>
      <c r="K28" s="3">
        <v>0</v>
      </c>
      <c r="L28" s="3">
        <v>0</v>
      </c>
      <c r="M28" s="2"/>
      <c r="N28" s="2" t="s">
        <v>223</v>
      </c>
      <c r="O28" s="2"/>
      <c r="P28" s="2"/>
      <c r="Q28" s="2"/>
      <c r="R28" s="3">
        <v>150</v>
      </c>
    </row>
    <row r="29" spans="1:18">
      <c r="A29" s="2" t="s">
        <v>225</v>
      </c>
      <c r="B29" s="2" t="s">
        <v>175</v>
      </c>
      <c r="C29" s="2" t="s">
        <v>176</v>
      </c>
      <c r="D29" s="2" t="s">
        <v>221</v>
      </c>
      <c r="E29" s="2" t="s">
        <v>222</v>
      </c>
      <c r="F29" s="2"/>
      <c r="G29" s="2"/>
      <c r="H29" s="2"/>
      <c r="I29" s="2"/>
      <c r="J29" s="2" t="s">
        <v>180</v>
      </c>
      <c r="K29" s="3">
        <v>0</v>
      </c>
      <c r="L29" s="3">
        <v>0</v>
      </c>
      <c r="M29" s="2"/>
      <c r="N29" s="2" t="s">
        <v>223</v>
      </c>
      <c r="O29" s="2"/>
      <c r="P29" s="2"/>
      <c r="Q29" s="2"/>
      <c r="R29" s="3">
        <v>150</v>
      </c>
    </row>
    <row r="30" spans="1:18">
      <c r="A30" s="2" t="s">
        <v>226</v>
      </c>
      <c r="B30" s="2" t="s">
        <v>175</v>
      </c>
      <c r="C30" s="2" t="s">
        <v>176</v>
      </c>
      <c r="D30" s="2" t="s">
        <v>221</v>
      </c>
      <c r="E30" s="2" t="s">
        <v>222</v>
      </c>
      <c r="F30" s="2"/>
      <c r="G30" s="2"/>
      <c r="H30" s="2"/>
      <c r="I30" s="2"/>
      <c r="J30" s="2" t="s">
        <v>180</v>
      </c>
      <c r="K30" s="3">
        <v>0</v>
      </c>
      <c r="L30" s="3">
        <v>0</v>
      </c>
      <c r="M30" s="2"/>
      <c r="N30" s="2" t="s">
        <v>223</v>
      </c>
      <c r="O30" s="2"/>
      <c r="P30" s="2"/>
      <c r="Q30" s="2"/>
      <c r="R30" s="3">
        <v>150</v>
      </c>
    </row>
    <row r="31" spans="1:18">
      <c r="A31" s="2" t="s">
        <v>227</v>
      </c>
      <c r="B31" s="2" t="s">
        <v>175</v>
      </c>
      <c r="C31" s="2" t="s">
        <v>176</v>
      </c>
      <c r="D31" s="2" t="s">
        <v>221</v>
      </c>
      <c r="E31" s="2" t="s">
        <v>222</v>
      </c>
      <c r="F31" s="2"/>
      <c r="G31" s="2"/>
      <c r="H31" s="2"/>
      <c r="I31" s="2"/>
      <c r="J31" s="2" t="s">
        <v>180</v>
      </c>
      <c r="K31" s="3">
        <v>0</v>
      </c>
      <c r="L31" s="3">
        <v>0</v>
      </c>
      <c r="M31" s="2"/>
      <c r="N31" s="2" t="s">
        <v>223</v>
      </c>
      <c r="O31" s="2"/>
      <c r="P31" s="2"/>
      <c r="Q31" s="2"/>
      <c r="R31" s="3">
        <v>150</v>
      </c>
    </row>
    <row r="32" spans="1:18">
      <c r="A32" s="2" t="s">
        <v>228</v>
      </c>
      <c r="B32" s="2" t="s">
        <v>175</v>
      </c>
      <c r="C32" s="2" t="s">
        <v>176</v>
      </c>
      <c r="D32" s="2" t="s">
        <v>221</v>
      </c>
      <c r="E32" s="2" t="s">
        <v>222</v>
      </c>
      <c r="F32" s="2"/>
      <c r="G32" s="2"/>
      <c r="H32" s="2"/>
      <c r="I32" s="2"/>
      <c r="J32" s="2" t="s">
        <v>180</v>
      </c>
      <c r="K32" s="3">
        <v>0</v>
      </c>
      <c r="L32" s="3">
        <v>0</v>
      </c>
      <c r="M32" s="2"/>
      <c r="N32" s="2" t="s">
        <v>223</v>
      </c>
      <c r="O32" s="2"/>
      <c r="P32" s="2"/>
      <c r="Q32" s="2"/>
      <c r="R32" s="3">
        <v>150</v>
      </c>
    </row>
    <row r="33" spans="1:18">
      <c r="A33" s="2" t="s">
        <v>229</v>
      </c>
      <c r="B33" s="2" t="s">
        <v>175</v>
      </c>
      <c r="C33" s="2" t="s">
        <v>176</v>
      </c>
      <c r="D33" s="2" t="s">
        <v>221</v>
      </c>
      <c r="E33" s="2" t="s">
        <v>222</v>
      </c>
      <c r="F33" s="2"/>
      <c r="G33" s="2"/>
      <c r="H33" s="2"/>
      <c r="I33" s="2"/>
      <c r="J33" s="2" t="s">
        <v>180</v>
      </c>
      <c r="K33" s="3">
        <v>0</v>
      </c>
      <c r="L33" s="3">
        <v>0</v>
      </c>
      <c r="M33" s="2"/>
      <c r="N33" s="2" t="s">
        <v>223</v>
      </c>
      <c r="O33" s="2"/>
      <c r="P33" s="2"/>
      <c r="Q33" s="2"/>
      <c r="R33" s="3">
        <v>150</v>
      </c>
    </row>
    <row r="34" spans="1:18">
      <c r="A34" s="2" t="s">
        <v>230</v>
      </c>
      <c r="B34" s="2" t="s">
        <v>175</v>
      </c>
      <c r="C34" s="2" t="s">
        <v>176</v>
      </c>
      <c r="D34" s="2" t="s">
        <v>221</v>
      </c>
      <c r="E34" s="2" t="s">
        <v>222</v>
      </c>
      <c r="F34" s="2"/>
      <c r="G34" s="2"/>
      <c r="H34" s="2"/>
      <c r="I34" s="2"/>
      <c r="J34" s="2" t="s">
        <v>180</v>
      </c>
      <c r="K34" s="3">
        <v>0</v>
      </c>
      <c r="L34" s="3">
        <v>0</v>
      </c>
      <c r="M34" s="2"/>
      <c r="N34" s="2" t="s">
        <v>223</v>
      </c>
      <c r="O34" s="2"/>
      <c r="P34" s="2"/>
      <c r="Q34" s="2"/>
      <c r="R34" s="3">
        <v>150</v>
      </c>
    </row>
    <row r="35" spans="1:18">
      <c r="A35" s="2" t="s">
        <v>231</v>
      </c>
      <c r="B35" s="2" t="s">
        <v>175</v>
      </c>
      <c r="C35" s="2" t="s">
        <v>176</v>
      </c>
      <c r="D35" s="2" t="s">
        <v>221</v>
      </c>
      <c r="E35" s="2" t="s">
        <v>222</v>
      </c>
      <c r="F35" s="2"/>
      <c r="G35" s="2"/>
      <c r="H35" s="2"/>
      <c r="I35" s="2"/>
      <c r="J35" s="2" t="s">
        <v>180</v>
      </c>
      <c r="K35" s="3">
        <v>0</v>
      </c>
      <c r="L35" s="3">
        <v>0</v>
      </c>
      <c r="M35" s="2"/>
      <c r="N35" s="2" t="s">
        <v>223</v>
      </c>
      <c r="O35" s="2"/>
      <c r="P35" s="2"/>
      <c r="Q35" s="2"/>
      <c r="R35" s="3">
        <v>150</v>
      </c>
    </row>
  </sheetData>
  <autoFilter ref="A1:R35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160</v>
      </c>
      <c r="C1" s="1" t="s">
        <v>232</v>
      </c>
      <c r="D1" s="1" t="s">
        <v>162</v>
      </c>
      <c r="E1" s="1" t="s">
        <v>233</v>
      </c>
      <c r="F1" s="1" t="s">
        <v>164</v>
      </c>
      <c r="G1" s="1" t="s">
        <v>234</v>
      </c>
      <c r="H1" s="1" t="s">
        <v>165</v>
      </c>
      <c r="I1" s="1" t="s">
        <v>118</v>
      </c>
      <c r="J1" s="1" t="s">
        <v>169</v>
      </c>
      <c r="K1" s="1" t="s">
        <v>167</v>
      </c>
      <c r="L1" s="1" t="s">
        <v>168</v>
      </c>
    </row>
    <row r="2" spans="1:12">
      <c r="A2" s="2" t="s">
        <v>182</v>
      </c>
      <c r="B2" s="2" t="s">
        <v>183</v>
      </c>
      <c r="C2" s="2" t="s">
        <v>235</v>
      </c>
      <c r="D2" s="2" t="s">
        <v>185</v>
      </c>
      <c r="E2" s="2" t="s">
        <v>236</v>
      </c>
      <c r="F2" s="2" t="s">
        <v>186</v>
      </c>
      <c r="G2" s="2" t="s">
        <v>237</v>
      </c>
      <c r="H2" s="2"/>
      <c r="I2" s="2" t="s">
        <v>180</v>
      </c>
      <c r="J2" s="2" t="s">
        <v>187</v>
      </c>
      <c r="K2" s="3">
        <v>0</v>
      </c>
      <c r="L2" s="2"/>
    </row>
    <row r="3" spans="1:12">
      <c r="A3" s="2" t="s">
        <v>218</v>
      </c>
      <c r="B3" s="2" t="s">
        <v>219</v>
      </c>
      <c r="C3" s="2" t="s">
        <v>238</v>
      </c>
      <c r="D3" s="2"/>
      <c r="E3" s="2"/>
      <c r="F3" s="2"/>
      <c r="G3" s="2"/>
      <c r="H3" s="2"/>
      <c r="I3" s="2" t="s">
        <v>180</v>
      </c>
      <c r="J3" s="2" t="s">
        <v>196</v>
      </c>
      <c r="K3" s="3">
        <v>0</v>
      </c>
      <c r="L3" s="2"/>
    </row>
    <row r="4" spans="1:12">
      <c r="A4" s="2" t="s">
        <v>192</v>
      </c>
      <c r="B4" s="2" t="s">
        <v>193</v>
      </c>
      <c r="C4" s="2" t="s">
        <v>239</v>
      </c>
      <c r="D4" s="2"/>
      <c r="E4" s="2"/>
      <c r="F4" s="2"/>
      <c r="G4" s="2"/>
      <c r="H4" s="2"/>
      <c r="I4" s="2" t="s">
        <v>180</v>
      </c>
      <c r="J4" s="2" t="s">
        <v>191</v>
      </c>
      <c r="K4" s="3">
        <v>0</v>
      </c>
      <c r="L4" s="2"/>
    </row>
    <row r="5" spans="1:12">
      <c r="A5" s="2" t="s">
        <v>208</v>
      </c>
      <c r="B5" s="2" t="s">
        <v>209</v>
      </c>
      <c r="C5" s="2" t="s">
        <v>240</v>
      </c>
      <c r="D5" s="2" t="s">
        <v>210</v>
      </c>
      <c r="E5" s="2" t="s">
        <v>241</v>
      </c>
      <c r="F5" s="2"/>
      <c r="G5" s="2"/>
      <c r="H5" s="2"/>
      <c r="I5" s="2" t="s">
        <v>180</v>
      </c>
      <c r="J5" s="2" t="s">
        <v>211</v>
      </c>
      <c r="K5" s="3">
        <v>0</v>
      </c>
      <c r="L5" s="2"/>
    </row>
    <row r="6" spans="1:12">
      <c r="A6" s="2" t="s">
        <v>216</v>
      </c>
      <c r="B6" s="2" t="s">
        <v>217</v>
      </c>
      <c r="C6" s="2" t="s">
        <v>242</v>
      </c>
      <c r="D6" s="2"/>
      <c r="E6" s="2"/>
      <c r="F6" s="2"/>
      <c r="G6" s="2"/>
      <c r="H6" s="2"/>
      <c r="I6" s="2" t="s">
        <v>180</v>
      </c>
      <c r="J6" s="2" t="s">
        <v>196</v>
      </c>
      <c r="K6" s="3">
        <v>0</v>
      </c>
      <c r="L6" s="2"/>
    </row>
    <row r="7" spans="1:12">
      <c r="A7" s="2" t="s">
        <v>214</v>
      </c>
      <c r="B7" s="2" t="s">
        <v>215</v>
      </c>
      <c r="C7" s="2" t="s">
        <v>243</v>
      </c>
      <c r="D7" s="2"/>
      <c r="E7" s="2"/>
      <c r="F7" s="2"/>
      <c r="G7" s="2"/>
      <c r="H7" s="2"/>
      <c r="I7" s="2" t="s">
        <v>180</v>
      </c>
      <c r="J7" s="2" t="s">
        <v>196</v>
      </c>
      <c r="K7" s="3">
        <v>0</v>
      </c>
      <c r="L7" s="2"/>
    </row>
    <row r="8" spans="1:12">
      <c r="A8" s="2" t="s">
        <v>188</v>
      </c>
      <c r="B8" s="2" t="s">
        <v>189</v>
      </c>
      <c r="C8" s="2" t="s">
        <v>244</v>
      </c>
      <c r="D8" s="2"/>
      <c r="E8" s="2"/>
      <c r="F8" s="2"/>
      <c r="G8" s="2"/>
      <c r="H8" s="2"/>
      <c r="I8" s="2" t="s">
        <v>180</v>
      </c>
      <c r="J8" s="2" t="s">
        <v>191</v>
      </c>
      <c r="K8" s="3">
        <v>0</v>
      </c>
      <c r="L8" s="2"/>
    </row>
    <row r="9" spans="1:12">
      <c r="A9" s="2" t="s">
        <v>174</v>
      </c>
      <c r="B9" s="2" t="s">
        <v>177</v>
      </c>
      <c r="C9" s="2" t="s">
        <v>245</v>
      </c>
      <c r="D9" s="2" t="s">
        <v>179</v>
      </c>
      <c r="E9" s="2" t="s">
        <v>246</v>
      </c>
      <c r="F9" s="2"/>
      <c r="G9" s="2"/>
      <c r="H9" s="2"/>
      <c r="I9" s="2" t="s">
        <v>180</v>
      </c>
      <c r="J9" s="2" t="s">
        <v>181</v>
      </c>
      <c r="K9" s="3">
        <v>0</v>
      </c>
      <c r="L9" s="2"/>
    </row>
    <row r="10" spans="1:12">
      <c r="A10" s="2" t="s">
        <v>194</v>
      </c>
      <c r="B10" s="2" t="s">
        <v>195</v>
      </c>
      <c r="C10" s="2" t="s">
        <v>247</v>
      </c>
      <c r="D10" s="2"/>
      <c r="E10" s="2"/>
      <c r="F10" s="2"/>
      <c r="G10" s="2"/>
      <c r="H10" s="2"/>
      <c r="I10" s="2" t="s">
        <v>180</v>
      </c>
      <c r="J10" s="2" t="s">
        <v>196</v>
      </c>
      <c r="K10" s="3">
        <v>0</v>
      </c>
      <c r="L10" s="2"/>
    </row>
    <row r="11" spans="1:12">
      <c r="A11" s="2" t="s">
        <v>212</v>
      </c>
      <c r="B11" s="2" t="s">
        <v>213</v>
      </c>
      <c r="C11" s="2" t="s">
        <v>248</v>
      </c>
      <c r="D11" s="2"/>
      <c r="E11" s="2"/>
      <c r="F11" s="2"/>
      <c r="G11" s="2"/>
      <c r="H11" s="2"/>
      <c r="I11" s="2" t="s">
        <v>180</v>
      </c>
      <c r="J11" s="2" t="s">
        <v>196</v>
      </c>
      <c r="K11" s="3">
        <v>0</v>
      </c>
      <c r="L11" s="2"/>
    </row>
    <row r="12" spans="1:12">
      <c r="A12" s="2" t="s">
        <v>249</v>
      </c>
      <c r="B12" s="2" t="s">
        <v>250</v>
      </c>
      <c r="C12" s="2" t="s">
        <v>251</v>
      </c>
      <c r="D12" s="2"/>
      <c r="E12" s="2"/>
      <c r="F12" s="2"/>
      <c r="G12" s="2"/>
      <c r="H12" s="2"/>
      <c r="I12" s="2" t="s">
        <v>180</v>
      </c>
      <c r="J12" s="2" t="s">
        <v>252</v>
      </c>
      <c r="K12" s="3">
        <v>0</v>
      </c>
      <c r="L12" s="2"/>
    </row>
    <row r="13" spans="1:12">
      <c r="A13" s="2" t="s">
        <v>202</v>
      </c>
      <c r="B13" s="2" t="s">
        <v>203</v>
      </c>
      <c r="C13" s="2" t="s">
        <v>253</v>
      </c>
      <c r="D13" s="2"/>
      <c r="E13" s="2"/>
      <c r="F13" s="2"/>
      <c r="G13" s="2"/>
      <c r="H13" s="2"/>
      <c r="I13" s="2" t="s">
        <v>180</v>
      </c>
      <c r="J13" s="2" t="s">
        <v>196</v>
      </c>
      <c r="K13" s="3">
        <v>0</v>
      </c>
      <c r="L13" s="2"/>
    </row>
    <row r="14" spans="1:12">
      <c r="A14" s="2" t="s">
        <v>197</v>
      </c>
      <c r="B14" s="2" t="s">
        <v>198</v>
      </c>
      <c r="C14" s="2" t="s">
        <v>254</v>
      </c>
      <c r="D14" s="2"/>
      <c r="E14" s="2"/>
      <c r="F14" s="2"/>
      <c r="G14" s="2"/>
      <c r="H14" s="2"/>
      <c r="I14" s="2" t="s">
        <v>180</v>
      </c>
      <c r="J14" s="2" t="s">
        <v>196</v>
      </c>
      <c r="K14" s="3">
        <v>0</v>
      </c>
      <c r="L14" s="2"/>
    </row>
    <row r="15" spans="1:12">
      <c r="A15" s="2" t="s">
        <v>204</v>
      </c>
      <c r="B15" s="2" t="s">
        <v>205</v>
      </c>
      <c r="C15" s="2" t="s">
        <v>255</v>
      </c>
      <c r="D15" s="2"/>
      <c r="E15" s="2"/>
      <c r="F15" s="2"/>
      <c r="G15" s="2"/>
      <c r="H15" s="2"/>
      <c r="I15" s="2" t="s">
        <v>180</v>
      </c>
      <c r="J15" s="2" t="s">
        <v>196</v>
      </c>
      <c r="K15" s="3">
        <v>0</v>
      </c>
      <c r="L15" s="2"/>
    </row>
    <row r="16" spans="1:12">
      <c r="A16" s="2" t="s">
        <v>206</v>
      </c>
      <c r="B16" s="2" t="s">
        <v>207</v>
      </c>
      <c r="C16" s="2" t="s">
        <v>256</v>
      </c>
      <c r="D16" s="2"/>
      <c r="E16" s="2"/>
      <c r="F16" s="2"/>
      <c r="G16" s="2"/>
      <c r="H16" s="2"/>
      <c r="I16" s="2" t="s">
        <v>180</v>
      </c>
      <c r="J16" s="2" t="s">
        <v>196</v>
      </c>
      <c r="K16" s="3">
        <v>0</v>
      </c>
      <c r="L16" s="2"/>
    </row>
    <row r="17" spans="1:12">
      <c r="A17" s="2" t="s">
        <v>200</v>
      </c>
      <c r="B17" s="2" t="s">
        <v>201</v>
      </c>
      <c r="C17" s="2" t="s">
        <v>257</v>
      </c>
      <c r="D17" s="2"/>
      <c r="E17" s="2"/>
      <c r="F17" s="2"/>
      <c r="G17" s="2"/>
      <c r="H17" s="2"/>
      <c r="I17" s="2" t="s">
        <v>180</v>
      </c>
      <c r="J17" s="2" t="s">
        <v>196</v>
      </c>
      <c r="K17" s="3">
        <v>0</v>
      </c>
      <c r="L17" s="2"/>
    </row>
    <row r="18" spans="1:12">
      <c r="A18" s="2" t="s">
        <v>220</v>
      </c>
      <c r="B18" s="2" t="s">
        <v>221</v>
      </c>
      <c r="C18" s="2" t="s">
        <v>258</v>
      </c>
      <c r="D18" s="2"/>
      <c r="E18" s="2"/>
      <c r="F18" s="2"/>
      <c r="G18" s="2"/>
      <c r="H18" s="2"/>
      <c r="I18" s="2" t="s">
        <v>180</v>
      </c>
      <c r="J18" s="2" t="s">
        <v>223</v>
      </c>
      <c r="K18" s="3">
        <v>0</v>
      </c>
      <c r="L18" s="2"/>
    </row>
    <row r="19" spans="1:12">
      <c r="A19" s="2" t="s">
        <v>224</v>
      </c>
      <c r="B19" s="2" t="s">
        <v>221</v>
      </c>
      <c r="C19" s="2" t="s">
        <v>259</v>
      </c>
      <c r="D19" s="2"/>
      <c r="E19" s="2"/>
      <c r="F19" s="2"/>
      <c r="G19" s="2"/>
      <c r="H19" s="2"/>
      <c r="I19" s="2" t="s">
        <v>180</v>
      </c>
      <c r="J19" s="2" t="s">
        <v>223</v>
      </c>
      <c r="K19" s="3">
        <v>0</v>
      </c>
      <c r="L19" s="2"/>
    </row>
    <row r="20" spans="1:12">
      <c r="A20" s="2" t="s">
        <v>225</v>
      </c>
      <c r="B20" s="2" t="s">
        <v>221</v>
      </c>
      <c r="C20" s="2" t="s">
        <v>260</v>
      </c>
      <c r="D20" s="2"/>
      <c r="E20" s="2"/>
      <c r="F20" s="2"/>
      <c r="G20" s="2"/>
      <c r="H20" s="2"/>
      <c r="I20" s="2" t="s">
        <v>180</v>
      </c>
      <c r="J20" s="2" t="s">
        <v>223</v>
      </c>
      <c r="K20" s="3">
        <v>0</v>
      </c>
      <c r="L20" s="2"/>
    </row>
    <row r="21" spans="1:12">
      <c r="A21" s="2" t="s">
        <v>226</v>
      </c>
      <c r="B21" s="2" t="s">
        <v>221</v>
      </c>
      <c r="C21" s="2" t="s">
        <v>261</v>
      </c>
      <c r="D21" s="2"/>
      <c r="E21" s="2"/>
      <c r="F21" s="2"/>
      <c r="G21" s="2"/>
      <c r="H21" s="2"/>
      <c r="I21" s="2" t="s">
        <v>180</v>
      </c>
      <c r="J21" s="2" t="s">
        <v>223</v>
      </c>
      <c r="K21" s="3">
        <v>0</v>
      </c>
      <c r="L21" s="2"/>
    </row>
    <row r="22" spans="1:12">
      <c r="A22" s="2" t="s">
        <v>227</v>
      </c>
      <c r="B22" s="2" t="s">
        <v>221</v>
      </c>
      <c r="C22" s="2" t="s">
        <v>262</v>
      </c>
      <c r="D22" s="2"/>
      <c r="E22" s="2"/>
      <c r="F22" s="2"/>
      <c r="G22" s="2"/>
      <c r="H22" s="2"/>
      <c r="I22" s="2" t="s">
        <v>180</v>
      </c>
      <c r="J22" s="2" t="s">
        <v>223</v>
      </c>
      <c r="K22" s="3">
        <v>0</v>
      </c>
      <c r="L22" s="2"/>
    </row>
    <row r="23" spans="1:12">
      <c r="A23" s="2" t="s">
        <v>228</v>
      </c>
      <c r="B23" s="2" t="s">
        <v>221</v>
      </c>
      <c r="C23" s="2" t="s">
        <v>263</v>
      </c>
      <c r="D23" s="2"/>
      <c r="E23" s="2"/>
      <c r="F23" s="2"/>
      <c r="G23" s="2"/>
      <c r="H23" s="2"/>
      <c r="I23" s="2" t="s">
        <v>180</v>
      </c>
      <c r="J23" s="2" t="s">
        <v>223</v>
      </c>
      <c r="K23" s="3">
        <v>0</v>
      </c>
      <c r="L23" s="2"/>
    </row>
    <row r="24" spans="1:12">
      <c r="A24" s="2" t="s">
        <v>229</v>
      </c>
      <c r="B24" s="2" t="s">
        <v>221</v>
      </c>
      <c r="C24" s="2" t="s">
        <v>264</v>
      </c>
      <c r="D24" s="2"/>
      <c r="E24" s="2"/>
      <c r="F24" s="2"/>
      <c r="G24" s="2"/>
      <c r="H24" s="2"/>
      <c r="I24" s="2" t="s">
        <v>180</v>
      </c>
      <c r="J24" s="2" t="s">
        <v>223</v>
      </c>
      <c r="K24" s="3">
        <v>0</v>
      </c>
      <c r="L24" s="2"/>
    </row>
    <row r="25" spans="1:12">
      <c r="A25" s="2" t="s">
        <v>230</v>
      </c>
      <c r="B25" s="2" t="s">
        <v>221</v>
      </c>
      <c r="C25" s="2" t="s">
        <v>265</v>
      </c>
      <c r="D25" s="2"/>
      <c r="E25" s="2"/>
      <c r="F25" s="2"/>
      <c r="G25" s="2"/>
      <c r="H25" s="2"/>
      <c r="I25" s="2" t="s">
        <v>180</v>
      </c>
      <c r="J25" s="2" t="s">
        <v>223</v>
      </c>
      <c r="K25" s="3">
        <v>0</v>
      </c>
      <c r="L25" s="2"/>
    </row>
    <row r="26" spans="1:12">
      <c r="A26" s="2" t="s">
        <v>231</v>
      </c>
      <c r="B26" s="2" t="s">
        <v>221</v>
      </c>
      <c r="C26" s="2" t="s">
        <v>266</v>
      </c>
      <c r="D26" s="2"/>
      <c r="E26" s="2"/>
      <c r="F26" s="2"/>
      <c r="G26" s="2"/>
      <c r="H26" s="2"/>
      <c r="I26" s="2" t="s">
        <v>180</v>
      </c>
      <c r="J26" s="2" t="s">
        <v>223</v>
      </c>
      <c r="K26" s="3">
        <v>0</v>
      </c>
      <c r="L26" s="2"/>
    </row>
    <row r="27" spans="1:12">
      <c r="A27" s="2" t="s">
        <v>267</v>
      </c>
      <c r="B27" s="2" t="s">
        <v>221</v>
      </c>
      <c r="C27" s="2" t="s">
        <v>268</v>
      </c>
      <c r="D27" s="2"/>
      <c r="E27" s="2"/>
      <c r="F27" s="2"/>
      <c r="G27" s="2"/>
      <c r="H27" s="2"/>
      <c r="I27" s="2" t="s">
        <v>269</v>
      </c>
      <c r="J27" s="2" t="s">
        <v>270</v>
      </c>
      <c r="K27" s="3">
        <v>0</v>
      </c>
      <c r="L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118</v>
      </c>
      <c r="C1" s="4" t="s">
        <v>160</v>
      </c>
      <c r="D1" s="4" t="s">
        <v>165</v>
      </c>
      <c r="E1" s="4" t="s">
        <v>166</v>
      </c>
      <c r="F1" s="4" t="s">
        <v>167</v>
      </c>
      <c r="G1" s="4" t="s">
        <v>271</v>
      </c>
      <c r="H1" s="4" t="s">
        <v>170</v>
      </c>
      <c r="I1" s="4" t="s">
        <v>169</v>
      </c>
    </row>
    <row r="2" spans="1:9">
      <c r="A2" s="2" t="s">
        <v>272</v>
      </c>
      <c r="B2" s="2" t="s">
        <v>27</v>
      </c>
      <c r="C2" s="2"/>
      <c r="D2" s="2"/>
      <c r="E2" s="3">
        <v>0</v>
      </c>
      <c r="F2" s="3">
        <v>0</v>
      </c>
      <c r="G2" s="2" t="s">
        <v>273</v>
      </c>
      <c r="H2" s="2"/>
      <c r="I2" s="2" t="s">
        <v>274</v>
      </c>
    </row>
    <row r="3" spans="1:9">
      <c r="A3" s="2" t="s">
        <v>275</v>
      </c>
      <c r="B3" s="2" t="s">
        <v>27</v>
      </c>
      <c r="C3" s="2"/>
      <c r="D3" s="2"/>
      <c r="E3" s="3">
        <v>0</v>
      </c>
      <c r="F3" s="3">
        <v>0</v>
      </c>
      <c r="G3" s="2" t="s">
        <v>276</v>
      </c>
      <c r="H3" s="2"/>
      <c r="I3" s="2"/>
    </row>
    <row r="4" spans="1:9">
      <c r="A4" s="2" t="s">
        <v>277</v>
      </c>
      <c r="B4" s="2" t="s">
        <v>27</v>
      </c>
      <c r="C4" s="2"/>
      <c r="D4" s="2"/>
      <c r="E4" s="3">
        <v>0</v>
      </c>
      <c r="F4" s="3">
        <v>0</v>
      </c>
      <c r="G4" s="2" t="s">
        <v>276</v>
      </c>
      <c r="H4" s="2"/>
      <c r="I4" s="2"/>
    </row>
    <row r="5" spans="1:9">
      <c r="A5" s="2" t="s">
        <v>249</v>
      </c>
      <c r="B5" s="2" t="s">
        <v>180</v>
      </c>
      <c r="C5" s="2" t="s">
        <v>250</v>
      </c>
      <c r="D5" s="2"/>
      <c r="E5" s="3">
        <v>0</v>
      </c>
      <c r="F5" s="3">
        <v>0</v>
      </c>
      <c r="G5" s="2" t="s">
        <v>276</v>
      </c>
      <c r="H5" s="2"/>
      <c r="I5" s="2" t="s">
        <v>252</v>
      </c>
    </row>
    <row r="6" spans="1:9">
      <c r="A6" s="2" t="s">
        <v>278</v>
      </c>
      <c r="B6" s="2" t="s">
        <v>27</v>
      </c>
      <c r="C6" s="2"/>
      <c r="D6" s="2"/>
      <c r="E6" s="3">
        <v>0</v>
      </c>
      <c r="F6" s="3">
        <v>0</v>
      </c>
      <c r="G6" s="2" t="s">
        <v>276</v>
      </c>
      <c r="H6" s="2"/>
      <c r="I6" s="2"/>
    </row>
    <row r="7" spans="1:9">
      <c r="A7" s="2" t="s">
        <v>279</v>
      </c>
      <c r="B7" s="2" t="s">
        <v>27</v>
      </c>
      <c r="C7" s="2"/>
      <c r="D7" s="2"/>
      <c r="E7" s="3">
        <v>0</v>
      </c>
      <c r="F7" s="3">
        <v>0</v>
      </c>
      <c r="G7" s="2" t="s">
        <v>276</v>
      </c>
      <c r="H7" s="2"/>
      <c r="I7" s="2"/>
    </row>
    <row r="8" spans="1:9">
      <c r="A8" s="2" t="s">
        <v>280</v>
      </c>
      <c r="B8" s="2" t="s">
        <v>27</v>
      </c>
      <c r="C8" s="2"/>
      <c r="D8" s="2"/>
      <c r="E8" s="3">
        <v>0</v>
      </c>
      <c r="F8" s="3">
        <v>0</v>
      </c>
      <c r="G8" s="2" t="s">
        <v>276</v>
      </c>
      <c r="H8" s="2"/>
      <c r="I8" s="2"/>
    </row>
    <row r="9" spans="1:9">
      <c r="A9" s="2" t="s">
        <v>281</v>
      </c>
      <c r="B9" s="2" t="s">
        <v>27</v>
      </c>
      <c r="C9" s="2"/>
      <c r="D9" s="2"/>
      <c r="E9" s="3">
        <v>0</v>
      </c>
      <c r="F9" s="3">
        <v>0</v>
      </c>
      <c r="G9" s="2" t="s">
        <v>184</v>
      </c>
      <c r="H9" s="2"/>
      <c r="I9" s="2"/>
    </row>
    <row r="10" spans="1:9">
      <c r="A10" s="2" t="s">
        <v>282</v>
      </c>
      <c r="B10" s="2" t="s">
        <v>27</v>
      </c>
      <c r="C10" s="2"/>
      <c r="D10" s="2"/>
      <c r="E10" s="3">
        <v>0</v>
      </c>
      <c r="F10" s="3">
        <v>0</v>
      </c>
      <c r="G10" s="2" t="s">
        <v>199</v>
      </c>
      <c r="H10" s="2"/>
      <c r="I10" s="2" t="s">
        <v>283</v>
      </c>
    </row>
    <row r="11" spans="1:9">
      <c r="A11" s="2" t="s">
        <v>284</v>
      </c>
      <c r="B11" s="2" t="s">
        <v>27</v>
      </c>
      <c r="C11" s="2"/>
      <c r="D11" s="2"/>
      <c r="E11" s="3">
        <v>0</v>
      </c>
      <c r="F11" s="3">
        <v>0</v>
      </c>
      <c r="G11" s="2" t="s">
        <v>184</v>
      </c>
      <c r="H11" s="2"/>
      <c r="I11" s="2"/>
    </row>
    <row r="12" spans="1:9">
      <c r="A12" s="2" t="s">
        <v>285</v>
      </c>
      <c r="B12" s="2" t="s">
        <v>27</v>
      </c>
      <c r="C12" s="2"/>
      <c r="D12" s="2"/>
      <c r="E12" s="3">
        <v>0</v>
      </c>
      <c r="F12" s="3">
        <v>0</v>
      </c>
      <c r="G12" s="2" t="s">
        <v>190</v>
      </c>
      <c r="H12" s="2"/>
      <c r="I12" s="2"/>
    </row>
    <row r="13" spans="1:9">
      <c r="A13" s="2" t="s">
        <v>286</v>
      </c>
      <c r="B13" s="2" t="s">
        <v>27</v>
      </c>
      <c r="C13" s="2"/>
      <c r="D13" s="2"/>
      <c r="E13" s="3">
        <v>0</v>
      </c>
      <c r="F13" s="3">
        <v>0</v>
      </c>
      <c r="G13" s="2" t="s">
        <v>178</v>
      </c>
      <c r="H13" s="2"/>
      <c r="I13" s="2"/>
    </row>
    <row r="14" spans="1:9">
      <c r="A14" s="2" t="s">
        <v>287</v>
      </c>
      <c r="B14" s="2" t="s">
        <v>27</v>
      </c>
      <c r="C14" s="2"/>
      <c r="D14" s="2"/>
      <c r="E14" s="3">
        <v>0</v>
      </c>
      <c r="F14" s="3">
        <v>0</v>
      </c>
      <c r="G14" s="2" t="s">
        <v>273</v>
      </c>
      <c r="H14" s="2"/>
      <c r="I14" s="2" t="s">
        <v>274</v>
      </c>
    </row>
    <row r="15" spans="1:9">
      <c r="A15" s="2" t="s">
        <v>288</v>
      </c>
      <c r="B15" s="2" t="s">
        <v>27</v>
      </c>
      <c r="C15" s="2"/>
      <c r="D15" s="2"/>
      <c r="E15" s="3">
        <v>0</v>
      </c>
      <c r="F15" s="3">
        <v>0</v>
      </c>
      <c r="G15" s="2" t="s">
        <v>184</v>
      </c>
      <c r="H15" s="2"/>
      <c r="I15" s="2"/>
    </row>
    <row r="16" spans="1:9">
      <c r="A16" s="2" t="s">
        <v>289</v>
      </c>
      <c r="B16" s="2" t="s">
        <v>27</v>
      </c>
      <c r="C16" s="2"/>
      <c r="D16" s="2"/>
      <c r="E16" s="3">
        <v>0</v>
      </c>
      <c r="F16" s="3">
        <v>0</v>
      </c>
      <c r="G16" s="2" t="s">
        <v>184</v>
      </c>
      <c r="H16" s="2"/>
      <c r="I16" s="2"/>
    </row>
    <row r="17" spans="1:9">
      <c r="A17" s="2" t="s">
        <v>290</v>
      </c>
      <c r="B17" s="2" t="s">
        <v>27</v>
      </c>
      <c r="C17" s="2"/>
      <c r="D17" s="2"/>
      <c r="E17" s="3">
        <v>0</v>
      </c>
      <c r="F17" s="3">
        <v>0</v>
      </c>
      <c r="G17" s="2" t="s">
        <v>190</v>
      </c>
      <c r="H17" s="2"/>
      <c r="I17" s="2"/>
    </row>
    <row r="18" spans="1:9">
      <c r="A18" s="2" t="s">
        <v>291</v>
      </c>
      <c r="B18" s="2" t="s">
        <v>27</v>
      </c>
      <c r="C18" s="2"/>
      <c r="D18" s="2"/>
      <c r="E18" s="3">
        <v>0</v>
      </c>
      <c r="F18" s="3">
        <v>0</v>
      </c>
      <c r="G18" s="2" t="s">
        <v>273</v>
      </c>
      <c r="H18" s="2"/>
      <c r="I18" s="2" t="s">
        <v>274</v>
      </c>
    </row>
    <row r="19" spans="1:9">
      <c r="A19" s="2" t="s">
        <v>292</v>
      </c>
      <c r="B19" s="2" t="s">
        <v>27</v>
      </c>
      <c r="C19" s="2"/>
      <c r="D19" s="2"/>
      <c r="E19" s="3">
        <v>0</v>
      </c>
      <c r="F19" s="3">
        <v>0</v>
      </c>
      <c r="G19" s="2" t="s">
        <v>273</v>
      </c>
      <c r="H19" s="2"/>
      <c r="I19" s="2" t="s">
        <v>274</v>
      </c>
    </row>
    <row r="20" spans="1:9">
      <c r="A20" s="2" t="s">
        <v>293</v>
      </c>
      <c r="B20" s="2" t="s">
        <v>27</v>
      </c>
      <c r="C20" s="2"/>
      <c r="D20" s="2"/>
      <c r="E20" s="3">
        <v>0</v>
      </c>
      <c r="F20" s="3">
        <v>0</v>
      </c>
      <c r="G20" s="2" t="s">
        <v>273</v>
      </c>
      <c r="H20" s="2"/>
      <c r="I20" s="2" t="s">
        <v>274</v>
      </c>
    </row>
    <row r="21" spans="1:9">
      <c r="A21" s="2" t="s">
        <v>294</v>
      </c>
      <c r="B21" s="2" t="s">
        <v>27</v>
      </c>
      <c r="C21" s="2"/>
      <c r="D21" s="2"/>
      <c r="E21" s="3">
        <v>0</v>
      </c>
      <c r="F21" s="3">
        <v>0</v>
      </c>
      <c r="G21" s="2" t="s">
        <v>295</v>
      </c>
      <c r="H21" s="2"/>
      <c r="I21" s="2" t="s">
        <v>296</v>
      </c>
    </row>
    <row r="22" spans="1:9">
      <c r="A22" s="2" t="s">
        <v>297</v>
      </c>
      <c r="B22" s="2" t="s">
        <v>27</v>
      </c>
      <c r="C22" s="2"/>
      <c r="D22" s="2"/>
      <c r="E22" s="3">
        <v>0</v>
      </c>
      <c r="F22" s="3">
        <v>0</v>
      </c>
      <c r="G22" s="2" t="s">
        <v>273</v>
      </c>
      <c r="H22" s="2"/>
      <c r="I22" s="2" t="s">
        <v>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298</v>
      </c>
      <c r="E1" s="1" t="s">
        <v>299</v>
      </c>
      <c r="F1" s="1" t="s">
        <v>300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301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301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301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301</v>
      </c>
    </row>
    <row r="6" spans="1:6">
      <c r="A6" s="2" t="s">
        <v>58</v>
      </c>
      <c r="B6" s="2" t="s">
        <v>60</v>
      </c>
      <c r="C6" s="2" t="s">
        <v>66</v>
      </c>
      <c r="D6" s="2" t="s">
        <v>26</v>
      </c>
      <c r="E6" s="2" t="s">
        <v>61</v>
      </c>
      <c r="F6" s="2" t="s">
        <v>301</v>
      </c>
    </row>
    <row r="7" spans="1:6">
      <c r="A7" s="2" t="s">
        <v>67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301</v>
      </c>
    </row>
    <row r="8" spans="1:6">
      <c r="A8" s="2" t="s">
        <v>77</v>
      </c>
      <c r="B8" s="2" t="s">
        <v>80</v>
      </c>
      <c r="C8" s="2" t="s">
        <v>86</v>
      </c>
      <c r="D8" s="2" t="s">
        <v>26</v>
      </c>
      <c r="E8" s="2" t="s">
        <v>81</v>
      </c>
      <c r="F8" s="2" t="s">
        <v>301</v>
      </c>
    </row>
    <row r="9" spans="1:6">
      <c r="A9" s="2" t="s">
        <v>87</v>
      </c>
      <c r="B9" s="2" t="s">
        <v>90</v>
      </c>
      <c r="C9" s="2" t="s">
        <v>96</v>
      </c>
      <c r="D9" s="2" t="s">
        <v>26</v>
      </c>
      <c r="E9" s="2" t="s">
        <v>91</v>
      </c>
      <c r="F9" s="2" t="s">
        <v>301</v>
      </c>
    </row>
    <row r="10" spans="1:6">
      <c r="A10" s="2" t="s">
        <v>97</v>
      </c>
      <c r="B10" s="2" t="s">
        <v>100</v>
      </c>
      <c r="C10" s="2" t="s">
        <v>106</v>
      </c>
      <c r="D10" s="2" t="s">
        <v>26</v>
      </c>
      <c r="E10" s="2" t="s">
        <v>101</v>
      </c>
      <c r="F10" s="2" t="s">
        <v>301</v>
      </c>
    </row>
    <row r="11" spans="1:6">
      <c r="A11" s="2" t="s">
        <v>107</v>
      </c>
      <c r="B11" s="2" t="s">
        <v>110</v>
      </c>
      <c r="C11" s="2" t="s">
        <v>116</v>
      </c>
      <c r="D11" s="2" t="s">
        <v>26</v>
      </c>
      <c r="E11" s="2" t="s">
        <v>111</v>
      </c>
      <c r="F11" s="2" t="s">
        <v>301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302</v>
      </c>
      <c r="B1" s="5"/>
      <c r="C1" s="5"/>
      <c r="D1" s="5"/>
      <c r="E1" s="5"/>
      <c r="F1" s="5"/>
    </row>
    <row r="3" spans="1:6">
      <c r="A3" s="1" t="s">
        <v>303</v>
      </c>
      <c r="B3" s="1" t="s">
        <v>304</v>
      </c>
      <c r="C3" s="2"/>
      <c r="D3" s="1" t="s">
        <v>305</v>
      </c>
      <c r="E3" s="1" t="s">
        <v>304</v>
      </c>
      <c r="F3" s="1" t="s">
        <v>306</v>
      </c>
    </row>
    <row r="4" spans="1:6">
      <c r="A4" s="2" t="s">
        <v>27</v>
      </c>
      <c r="B4" s="2">
        <f>COUNTIF(Pipeline!J:J,"Contact Ready")</f>
        <v>0</v>
      </c>
      <c r="D4" s="2" t="s">
        <v>310</v>
      </c>
      <c r="E4" s="3">
        <f>SUM(Pipeline!R:R)</f>
        <v>0</v>
      </c>
      <c r="F4" s="2" t="s">
        <v>311</v>
      </c>
    </row>
    <row r="5" spans="1:6">
      <c r="A5" s="2" t="s">
        <v>180</v>
      </c>
      <c r="B5" s="2">
        <f>COUNTIF(Pipeline!J:J,"Contacted")</f>
        <v>0</v>
      </c>
      <c r="D5" s="2" t="s">
        <v>312</v>
      </c>
      <c r="E5" s="3">
        <f>SUM(Pipeline!K:K)</f>
        <v>0</v>
      </c>
      <c r="F5" s="2" t="s">
        <v>313</v>
      </c>
    </row>
    <row r="6" spans="1:6">
      <c r="A6" s="2" t="s">
        <v>307</v>
      </c>
      <c r="B6" s="2">
        <f>COUNTIF(Pipeline!J:J,"Replied")</f>
        <v>0</v>
      </c>
      <c r="D6" s="2" t="s">
        <v>314</v>
      </c>
      <c r="E6" s="3">
        <f>SUM(Pipeline!L:L)</f>
        <v>0</v>
      </c>
      <c r="F6" s="2" t="s">
        <v>315</v>
      </c>
    </row>
    <row r="7" spans="1:6">
      <c r="A7" s="2" t="s">
        <v>308</v>
      </c>
      <c r="B7" s="2">
        <f>COUNTIF(Pipeline!J:J,"Negotiating")</f>
        <v>0</v>
      </c>
      <c r="D7" s="2" t="s">
        <v>316</v>
      </c>
      <c r="E7" s="6">
        <f>IFERROR(COUNTIF(Pipeline!J:J,"Replied")/COUNTIF(Pipeline!D:D,"&lt;&gt;"),0)</f>
        <v>0</v>
      </c>
      <c r="F7" s="2" t="s">
        <v>317</v>
      </c>
    </row>
    <row r="8" spans="1:6">
      <c r="A8" s="2" t="s">
        <v>309</v>
      </c>
      <c r="B8" s="2">
        <f>COUNTIF(Pipeline!J:J,"Won/Paid")</f>
        <v>0</v>
      </c>
      <c r="D8" s="2" t="s">
        <v>318</v>
      </c>
      <c r="E8" s="6">
        <f>IFERROR(COUNTIF(Pipeline!J:J,"Won/Paid")/COUNTIF(Pipeline!D:D,"&lt;&gt;"),0)</f>
        <v>0</v>
      </c>
      <c r="F8" s="2" t="s">
        <v>319</v>
      </c>
    </row>
    <row r="9" spans="1:6">
      <c r="A9" s="2" t="s">
        <v>168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320</v>
      </c>
      <c r="B1" s="1" t="s">
        <v>321</v>
      </c>
    </row>
    <row r="2" spans="1:2">
      <c r="A2" s="2" t="s">
        <v>322</v>
      </c>
      <c r="B2" s="2" t="s">
        <v>323</v>
      </c>
    </row>
    <row r="3" spans="1:2">
      <c r="A3" s="2" t="s">
        <v>324</v>
      </c>
      <c r="B3" s="2" t="s">
        <v>325</v>
      </c>
    </row>
    <row r="4" spans="1:2">
      <c r="A4" s="2" t="s">
        <v>326</v>
      </c>
      <c r="B4" s="2" t="s">
        <v>327</v>
      </c>
    </row>
    <row r="5" spans="1:2">
      <c r="A5" s="2" t="s">
        <v>328</v>
      </c>
      <c r="B5" s="2" t="s">
        <v>329</v>
      </c>
    </row>
    <row r="6" spans="1:2">
      <c r="A6" s="2" t="s">
        <v>330</v>
      </c>
      <c r="B6" s="2" t="s">
        <v>331</v>
      </c>
    </row>
    <row r="7" spans="1:2">
      <c r="A7" s="2" t="s">
        <v>332</v>
      </c>
      <c r="B7" s="2" t="s">
        <v>333</v>
      </c>
    </row>
    <row r="8" spans="1:2">
      <c r="A8" s="2" t="s">
        <v>334</v>
      </c>
      <c r="B8" s="2" t="s">
        <v>335</v>
      </c>
    </row>
    <row r="9" spans="1:2">
      <c r="A9" s="2" t="s">
        <v>336</v>
      </c>
      <c r="B9" s="2" t="s">
        <v>337</v>
      </c>
    </row>
    <row r="10" spans="1:2">
      <c r="A10" s="2" t="s">
        <v>175</v>
      </c>
      <c r="B10" s="2" t="s">
        <v>338</v>
      </c>
    </row>
    <row r="11" spans="1:2">
      <c r="A11" s="2" t="s">
        <v>339</v>
      </c>
      <c r="B11" s="2" t="s">
        <v>340</v>
      </c>
    </row>
    <row r="12" spans="1:2">
      <c r="A12" s="2" t="s">
        <v>341</v>
      </c>
      <c r="B12" s="2" t="s">
        <v>342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343</v>
      </c>
      <c r="B1" s="1" t="s">
        <v>344</v>
      </c>
      <c r="C1" s="1" t="s">
        <v>345</v>
      </c>
      <c r="D1" s="1" t="s">
        <v>346</v>
      </c>
      <c r="E1" s="1" t="s">
        <v>347</v>
      </c>
    </row>
    <row r="2" spans="1:5">
      <c r="A2" s="2" t="s">
        <v>26</v>
      </c>
      <c r="B2" s="2">
        <v>10</v>
      </c>
      <c r="C2" s="2">
        <v>26</v>
      </c>
      <c r="D2" s="2">
        <v>21</v>
      </c>
      <c r="E2" s="2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2026-09-25T12:16:26Z</dcterms:created>
  <dcterms:modified xsi:type="dcterms:W3CDTF">2026-09-25T12:16:26Z</dcterms:modified>
</cp:coreProperties>
</file>