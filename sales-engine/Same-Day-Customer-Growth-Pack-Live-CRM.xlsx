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<sst xmlns="http://schemas.openxmlformats.org/spreadsheetml/2006/main" count="744" uniqueCount="336">
  <si>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</si>
  <si>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</si>
  <si>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</si>
  <si>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</si>
  <si>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</si>
  <si>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</si>
  <si>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</si>
  <si>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</si>
  <si>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</si>
  <si>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</si>
  <si>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</si>
  <si>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</si>
  <si>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</si>
  <si>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</si>
  <si>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</si>
  <si>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HB Design &amp; Construction</t>
  </si>
  <si>
    <t>Design-Build / Remodeling / ADU</t>
  </si>
  <si>
    <t>San Jose / South Bay, CA</t>
  </si>
  <si>
    <t>A</t>
  </si>
  <si>
    <t>Official contact page offers a free on-site consultation, written estimate and usually same-day email reply, creating an unusually fast response path for high-value remodeling inquiries.</t>
  </si>
  <si>
    <t>hello.hbdesignconstruction@gmail.com</t>
  </si>
  <si>
    <t>Direct email; usually same-day reply; free consultation</t>
  </si>
  <si>
    <t>Turn the free consultation and written-estimate process into a pre-consultation content funnel that helps homeowners arrive with project scope, priorities and decision questions ready.</t>
  </si>
  <si>
    <t>Pre-consultation remodeling campaign idea for HB Design</t>
  </si>
  <si>
    <t>Hi — I reviewed HB Design &amp; Construction’s current consultation process and noticed you already offer a free on-site consultation, written estimate and usually same-day email reply. I’d turn that into a customer-ready pre-consultation campaign that helps homeowners organize scope, priorities and questions before you arrive. The $150 Same-Day Customer Growth Pack can include social/Google posts, FAQs, inquiry follow-ups and estimate-ready messaging built around your actual services. Want two HB-specific examples first?</t>
  </si>
  <si>
    <t>https://hbdesignconstruction.com/contact</t>
  </si>
  <si>
    <t>2026-09-18</t>
  </si>
  <si>
    <t>Contacted</t>
  </si>
  <si>
    <t>QualiBuild LLC</t>
  </si>
  <si>
    <t>Kitchen / Bathroom / ADU Remodeling</t>
  </si>
  <si>
    <t>Sunnyvale / San Jose / Bay Area, CA</t>
  </si>
  <si>
    <t>Official site was crawled four days ago and offers free estimates, owner-direct service, on-site visits usually within 1–2 days, written estimates and photo/video-based project scoping.</t>
  </si>
  <si>
    <t>info@qualibuildca.com</t>
  </si>
  <si>
    <t>Direct email; owners directly involved; on-site visits usually within 1–2 days</t>
  </si>
  <si>
    <t>Turn the existing send-us-photos/video intake into a visual project-readiness campaign that pre-qualifies kitchen, bath and ADU prospects before the visit.</t>
  </si>
  <si>
    <t>Photo-to-estimate campaign idea for QualiBuild</t>
  </si>
  <si>
    <t>Hi — I reviewed QualiBuild’s current project intake and noticed you already invite homeowners to send photos, video and rough dimensions before an on-site visit. I’d turn that into a simple visual project-readiness campaign with scope-prep posts, FAQs, inquiry follow-ups and estimate CTAs for kitchen, bath and ADU prospects. Same-Day Customer Growth Pack: $150 flat. Want two QualiBuild-specific examples first?</t>
  </si>
  <si>
    <t>https://qualibuildca.com/</t>
  </si>
  <si>
    <t>Redwood Roofing</t>
  </si>
  <si>
    <t>Roof Repair / Replacement / Inspection</t>
  </si>
  <si>
    <t>Los Gatos / San Jose / Santa Cruz, CA</t>
  </si>
  <si>
    <t>Official contact page crawled six days ago publishes a direct email, free estimates and a same-day callback promise, or next business day after hours.</t>
  </si>
  <si>
    <t>contact@redwoodroofing.com</t>
  </si>
  <si>
    <t>Direct email; same-day/next-business-day response; free estimate</t>
  </si>
  <si>
    <t>Turn fast estimate response plus inspection expertise into an urgency-without-pressure roof decision campaign.</t>
  </si>
  <si>
    <t>Same-day roof-response campaign idea for Redwood Roofing</t>
  </si>
  <si>
    <t>Hi — I reviewed Redwood Roofing’s current estimate page and noticed you already give homeowners something valuable during a stressful roof decision: a free estimate with same-day or next-business-day response. I’d turn that into an urgency-without-pressure campaign covering inspection, repair-vs-replacement questions, inquiry follow-ups and estimate CTAs. Same-Day Customer Growth Pack: $150 flat. Want two Redwood-specific examples first?</t>
  </si>
  <si>
    <t>https://redwoodroofing.com/contact-us/</t>
  </si>
  <si>
    <t>Premier Roofing &amp; Retro-Fit</t>
  </si>
  <si>
    <t>Roofing / Retro-Fit</t>
  </si>
  <si>
    <t>Santa Clara / South Bay, CA</t>
  </si>
  <si>
    <t>Official contact page advertises a free same-day roofing quote, publishes a direct email and maintains weekday and Saturday business hours.</t>
  </si>
  <si>
    <t>Info@premierroofingretrofit.com</t>
  </si>
  <si>
    <t>Direct email; free same-day quote; Saturday hours</t>
  </si>
  <si>
    <t>Build a same-day-quote campaign that tells homeowners exactly what to send before requesting a quote and reduces friction around urgent roof decisions.</t>
  </si>
  <si>
    <t>Same-day quote campaign for Premier Roofing</t>
  </si>
  <si>
    <t>Hi — I reviewed Premier Roofing &amp; Retro-Fit’s current Santa Clara contact page and noticed you already promote a free same-day roofing quote. I’d turn that speed promise into a customer-ready campaign showing homeowners what information to send, what to expect next and how to compare repair versus replacement. Same-Day Customer Growth Pack: $150 flat. Want two Premier-specific examples first?</t>
  </si>
  <si>
    <t>https://premierroofingretrofit.com/contact-us/</t>
  </si>
  <si>
    <t>Make It Simple Construction, Inc.</t>
  </si>
  <si>
    <t>Full Home / Kitchen / Bathroom Remodeling</t>
  </si>
  <si>
    <t>San Jose / Bay Area, CA</t>
  </si>
  <si>
    <t>Official contact page publishes a direct named email, free estimates and positioning around guidance, no hidden costs and family ownership.</t>
  </si>
  <si>
    <t>jasmin@makeitsimpleinc.com</t>
  </si>
  <si>
    <t>Direct named email; free estimate</t>
  </si>
  <si>
    <t>Turn the simplicity/no-hidden-cost positioning into a remodeling decision guide that reduces uncertainty before the estimate.</t>
  </si>
  <si>
    <t>Make-the-remodel-simple campaign idea</t>
  </si>
  <si>
    <t>Hi — I reviewed Make It Simple Construction’s current contact page and the strongest marketing angle is already in your name: helping homeowners understand what their remodel actually needs without hidden-cost anxiety. I’d turn that into planning posts, scope FAQs, inquiry follow-ups and estimate-ready messaging for kitchens, bathrooms and full-home projects. Same-Day Customer Growth Pack: $150 flat. Want two company-specific examples first?</t>
  </si>
  <si>
    <t>https://makeitsimpleinc.com/contact/</t>
  </si>
  <si>
    <t>BLUECON</t>
  </si>
  <si>
    <t>Remodeling / ADU / Commercial Renovation</t>
  </si>
  <si>
    <t>Official site crawled two days ago publishes a direct project email, San Jose office, free-estimate CTA and remodeling, ADU and commercial-renovation positioning.</t>
  </si>
  <si>
    <t>build@blue-con.org</t>
  </si>
  <si>
    <t>Direct project email; free estimate; San Jose office</t>
  </si>
  <si>
    <t>Turn the broad remodel/ADU/commercial portfolio into a choose-your-project-path campaign that routes prospects to the right estimate conversation.</t>
  </si>
  <si>
    <t>Project-path campaign idea for BLUECON</t>
  </si>
  <si>
    <t>Hi — I reviewed BLUECON’s current San Jose site and noticed you span home remodeling, ADUs and commercial renovation. I’d turn that breadth into a simple project-path campaign that helps prospects identify their project type, prepare the right details and move toward a free estimate. Same-Day Customer Growth Pack: $150 flat. Want two BLUECON-specific examples first?</t>
  </si>
  <si>
    <t>https://blueconbuilders.net/</t>
  </si>
  <si>
    <t>Blues Bros</t>
  </si>
  <si>
    <t>San Jose, CA</t>
  </si>
  <si>
    <t>Official contact page publishes a direct email, financing availability, free in-home estimates and a stated response target within 24 hours.</t>
  </si>
  <si>
    <t>info@bluesbros.com</t>
  </si>
  <si>
    <t>Direct email; free estimate; stated response within 24 hours</t>
  </si>
  <si>
    <t>Turn the 24-hour estimate response plus financing availability into a remodel-readiness campaign addressing scope, budget questions and next steps before the consultation.</t>
  </si>
  <si>
    <t>24-hour remodel-response campaign idea for Blues Bros</t>
  </si>
  <si>
    <t>Hi — I reviewed Blues Bros’ current San Jose contact page and noticed you combine free in-home estimates, a stated 24-hour response target and financing availability. I’d turn that into a remodel-readiness campaign covering scope questions, consultation prep, financing FAQs and estimate follow-ups. Same-Day Customer Growth Pack: $150 flat. Want two Blues Bros-specific examples first?</t>
  </si>
  <si>
    <t>https://bluesbros.com/contact/</t>
  </si>
  <si>
    <t>Home Quality Remodeling</t>
  </si>
  <si>
    <t>Home Remodeling</t>
  </si>
  <si>
    <t>Official contact page publishes a direct San Jose email and a free on-site estimate intake that asks project type, financing interest and accepts plans or drawings.</t>
  </si>
  <si>
    <t>inquiry@hqrpro.com</t>
  </si>
  <si>
    <t>Direct email; San Jose office; free on-site estimate</t>
  </si>
  <si>
    <t>Turn the existing estimate intake into a project-file-prep campaign that encourages prospects to submit plans, inspiration and financing questions before the visit.</t>
  </si>
  <si>
    <t>Project-file prep campaign for HQR</t>
  </si>
  <si>
    <t>Hi — I reviewed HQR’s current San Jose estimate flow and noticed you already ask homeowners for project type, financing interest and even plans or drawings. I’d turn that into a project-file-prep campaign that helps prospects arrive with better information before the on-site estimate. Same-Day Customer Growth Pack: $150 flat. Want two HQR-specific examples first?</t>
  </si>
  <si>
    <t>https://www.homequalityremodeling.com/contact</t>
  </si>
  <si>
    <t>Imperia Roofing &amp; Exteriors</t>
  </si>
  <si>
    <t>Roofing / Siding / Stucco / Windows / Exterior Renovation</t>
  </si>
  <si>
    <t>Santa Clara / Bay Area, CA</t>
  </si>
  <si>
    <t>Recent official Santa Clara pages publish a direct email, free-estimate CTA and a broad roofing/exteriors mix including siding, stucco, painting and windows.</t>
  </si>
  <si>
    <t>info@imperiare.com</t>
  </si>
  <si>
    <t>Direct email; Santa Clara office; free estimate</t>
  </si>
  <si>
    <t>Create an exterior-project selector campaign that helps property owners distinguish roof-only needs from broader siding, stucco, painting or window work before requesting an estimate.</t>
  </si>
  <si>
    <t>Exterior project-selector campaign for Imperia</t>
  </si>
  <si>
    <t>Hi — I reviewed Imperia’s current Santa Clara pages and noticed you cover far more than roofing: siding, stucco, painting and windows as well. I’d turn that into an exterior project-selector campaign that helps homeowners identify the right scope before requesting a free estimate, with FAQs and follow-up copy for cross-service opportunities. Same-Day Customer Growth Pack: $150 flat. Want two Imperia-specific examples first?</t>
  </si>
  <si>
    <t>https://imperiare.com/tpo/santa-clara/</t>
  </si>
  <si>
    <t>Silicon Valley Chimney Sweep</t>
  </si>
  <si>
    <t>Chimney Inspection / Cleaning / Repair</t>
  </si>
  <si>
    <t>Official contact page crawled last week publishes a direct email, same-day replies, same-day appointments before noon, free written estimates and photo-based evaluation.</t>
  </si>
  <si>
    <t>info@svchimneysweep.com</t>
  </si>
  <si>
    <t>Direct email; same-day reply; photo intake; free written estimate</t>
  </si>
  <si>
    <t>Turn send-us-a-photo plus same-day response into a visual chimney triage campaign that helps homeowners understand whether they need cleaning, inspection or repair.</t>
  </si>
  <si>
    <t>Photo-first chimney campaign idea</t>
  </si>
  <si>
    <t>Hi — I reviewed Silicon Valley Chimney Sweep’s current contact flow and noticed a strong customer-friendly combination: homeowners can email photos, receive a same-day reply and request a free written estimate. I’d turn that into a photo-first chimney triage campaign with symptom posts, FAQs, inquiry follow-ups and estimate CTAs. Same-Day Customer Growth Pack: $150 flat. Want two company-specific examples first?</t>
  </si>
  <si>
    <t>https://svchimneysweep.com/contact-us/</t>
  </si>
  <si>
    <t>Delivery Failed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</si>
  <si>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</si>
  <si>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</si>
  <si>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</si>
  <si>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</si>
  <si>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</si>
  <si>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</si>
  <si>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</si>
  <si>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</si>
  <si>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</si>
  <si>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</si>
  <si>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</si>
  <si>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</si>
  <si>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</si>
  <si>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</si>
  <si>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</si>
  <si>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</si>
  <si>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</si>
  <si>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</si>
  <si>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</si>
  <si>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</si>
  <si>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</si>
  <si>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</si>
  <si>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</si>
  <si>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</si>
  <si>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</si>
  <si>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</si>
  <si>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</si>
  <si>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</si>
  <si>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</si>
  <si>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</si>
  <si>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</si>
  <si>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</si>
  <si>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</si>
  <si>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</si>
  <si>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</si>
  <si>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</si>
  <si>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</si>
  <si>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</si>
  <si>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</si>
  <si>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</si>
  <si>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</si>
  <si>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</si>
  <si>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</si>
  <si>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</si>
  <si>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</si>
  <si>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</si>
  <si>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</si>
  <si>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</si>
  <si>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</si>
  <si>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</si>
  <si>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</si>
  <si>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</si>
  <si>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</si>
  <si>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</si>
  <si>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</si>
  <si>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</si>
  <si>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</si>
  <si>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2026-09-18T16:24:00-07:00</t>
  </si>
  <si>
    <t>2026-09-21</t>
  </si>
  <si>
    <t>Wait for reply. If no reply, eligible for respectful S02 follow-up on/after 2026-09-21; stop sooner on decline or opt-out.</t>
  </si>
  <si>
    <t>Do not count as successfully contacted. Official site still publishes info@svchimneysweep.com, but Gmail returned a hard bounce. Reverify or use the official website inquiry route; do not resend to the bounced address.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</si>
  <si>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</si>
  <si>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</si>
  <si>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</si>
  <si>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</si>
  <si>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</si>
  <si>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</si>
  <si>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</si>
  <si>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</si>
  <si>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</si>
  <si>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</si>
  <si>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</si>
  <si>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</si>
  <si>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</si>
  <si>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</si>
  <si>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</si>
  <si>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</si>
  <si>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</si>
  <si>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</si>
  <si>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</si>
  <si>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</si>
  <si>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</si>
  <si>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</si>
  <si>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</si>
  <si>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</si>
  <si>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</si>
  <si>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</si>
  <si>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</si>
  <si>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</si>
  <si>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</si>
  <si>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</si>
  <si>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</si>
  <si>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</si>
  <si>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</si>
  <si>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</si>
  <si>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</si>
  <si>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</si>
  <si>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</si>
  <si>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</si>
  <si>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</si>
  <si>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</si>
  <si>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</si>
  <si>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</si>
  <si>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</si>
  <si>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</si>
  <si>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</si>
  <si>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</si>
  <si>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</si>
  <si>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</si>
  <si>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</si>
  <si>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</si>
  <si>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</si>
  <si>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</si>
  <si>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</si>
  <si>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</si>
  <si>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</si>
  <si>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</si>
  <si>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</si>
  <si>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</si>
  <si>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</si>
  <si>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</si>
  <si>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</si>
  <si>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</si>
  <si>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</si>
  <si>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</si>
  <si>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</si>
  <si>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</si>
  <si>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</si>
  <si>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</si>
  <si>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</si>
  <si>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</si>
  <si>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</si>
  <si>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Gmail sent message 1a0b6d78c843ca6b</t>
  </si>
  <si>
    <t>Gmail sent message 1a0b6d7943740cae</t>
  </si>
  <si>
    <t>Gmail sent message 1a0b6d79a6cdefdb</t>
  </si>
  <si>
    <t>Gmail sent message 1a0b6d7a193869fd</t>
  </si>
  <si>
    <t>Gmail sent message 1a0b6d7a978557f8</t>
  </si>
  <si>
    <t>Gmail sent message 1a0b6d7afc5b1de0</t>
  </si>
  <si>
    <t>Gmail sent message 1a0b6d7b4e0a0a3f</t>
  </si>
  <si>
    <t>Gmail sent message 1a0b6d7bd8a5e4c7</t>
  </si>
  <si>
    <t>Gmail sent message 1a0b6d7c520f4297</t>
  </si>
  <si>
    <t>Gmail sent message 1a0b6d7d1bb96f3a</t>
  </si>
  <si>
    <t>Archived</t>
  </si>
  <si>
    <t>Leader Restoration</t>
  </si>
  <si>
    <t>Contact Ready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</si>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</sst>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50</v>
      </c>
      <c r="E5" s="2" t="s">
        <v>18</v>
      </c>
      <c r="F5" s="2" t="s">
        <v>51</v>
      </c>
      <c r="G5" s="2"/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57</v>
      </c>
      <c r="N5" s="2" t="s">
        <v>26</v>
      </c>
      <c r="O5" s="2" t="s">
        <v>27</v>
      </c>
    </row>
    <row r="6" spans="1:15">
      <c r="A6" s="2">
        <v>5</v>
      </c>
      <c r="B6" s="2" t="s">
        <v>58</v>
      </c>
      <c r="C6" s="2" t="s">
        <v>59</v>
      </c>
      <c r="D6" s="2" t="s">
        <v>60</v>
      </c>
      <c r="E6" s="2" t="s">
        <v>18</v>
      </c>
      <c r="F6" s="2" t="s">
        <v>61</v>
      </c>
      <c r="G6" s="2"/>
      <c r="H6" s="2" t="s">
        <v>62</v>
      </c>
      <c r="I6" s="2" t="s">
        <v>63</v>
      </c>
      <c r="J6" s="2" t="s">
        <v>64</v>
      </c>
      <c r="K6" s="2" t="s">
        <v>65</v>
      </c>
      <c r="L6" s="2" t="s">
        <v>66</v>
      </c>
      <c r="M6" s="2" t="s">
        <v>67</v>
      </c>
      <c r="N6" s="2" t="s">
        <v>26</v>
      </c>
      <c r="O6" s="2" t="s">
        <v>27</v>
      </c>
    </row>
    <row r="7" spans="1:15">
      <c r="A7" s="2">
        <v>6</v>
      </c>
      <c r="B7" s="2" t="s">
        <v>68</v>
      </c>
      <c r="C7" s="2" t="s">
        <v>69</v>
      </c>
      <c r="D7" s="2" t="s">
        <v>60</v>
      </c>
      <c r="E7" s="2" t="s">
        <v>18</v>
      </c>
      <c r="F7" s="2" t="s">
        <v>70</v>
      </c>
      <c r="G7" s="2"/>
      <c r="H7" s="2" t="s">
        <v>71</v>
      </c>
      <c r="I7" s="2" t="s">
        <v>72</v>
      </c>
      <c r="J7" s="2" t="s">
        <v>73</v>
      </c>
      <c r="K7" s="2" t="s">
        <v>74</v>
      </c>
      <c r="L7" s="2" t="s">
        <v>75</v>
      </c>
      <c r="M7" s="2" t="s">
        <v>76</v>
      </c>
      <c r="N7" s="2" t="s">
        <v>26</v>
      </c>
      <c r="O7" s="2" t="s">
        <v>27</v>
      </c>
    </row>
    <row r="8" spans="1:15">
      <c r="A8" s="2">
        <v>7</v>
      </c>
      <c r="B8" s="2" t="s">
        <v>77</v>
      </c>
      <c r="C8" s="2" t="s">
        <v>29</v>
      </c>
      <c r="D8" s="2" t="s">
        <v>78</v>
      </c>
      <c r="E8" s="2" t="s">
        <v>18</v>
      </c>
      <c r="F8" s="2" t="s">
        <v>79</v>
      </c>
      <c r="G8" s="2"/>
      <c r="H8" s="2" t="s">
        <v>80</v>
      </c>
      <c r="I8" s="2" t="s">
        <v>81</v>
      </c>
      <c r="J8" s="2" t="s">
        <v>82</v>
      </c>
      <c r="K8" s="2" t="s">
        <v>83</v>
      </c>
      <c r="L8" s="2" t="s">
        <v>84</v>
      </c>
      <c r="M8" s="2" t="s">
        <v>85</v>
      </c>
      <c r="N8" s="2" t="s">
        <v>26</v>
      </c>
      <c r="O8" s="2" t="s">
        <v>27</v>
      </c>
    </row>
    <row r="9" spans="1:15">
      <c r="A9" s="2">
        <v>8</v>
      </c>
      <c r="B9" s="2" t="s">
        <v>86</v>
      </c>
      <c r="C9" s="2" t="s">
        <v>87</v>
      </c>
      <c r="D9" s="2" t="s">
        <v>60</v>
      </c>
      <c r="E9" s="2" t="s">
        <v>18</v>
      </c>
      <c r="F9" s="2" t="s">
        <v>88</v>
      </c>
      <c r="G9" s="2"/>
      <c r="H9" s="2" t="s">
        <v>89</v>
      </c>
      <c r="I9" s="2" t="s">
        <v>90</v>
      </c>
      <c r="J9" s="2" t="s">
        <v>91</v>
      </c>
      <c r="K9" s="2" t="s">
        <v>92</v>
      </c>
      <c r="L9" s="2" t="s">
        <v>93</v>
      </c>
      <c r="M9" s="2" t="s">
        <v>94</v>
      </c>
      <c r="N9" s="2" t="s">
        <v>26</v>
      </c>
      <c r="O9" s="2" t="s">
        <v>27</v>
      </c>
    </row>
    <row r="10" spans="1:15">
      <c r="A10" s="2">
        <v>9</v>
      </c>
      <c r="B10" s="2" t="s">
        <v>95</v>
      </c>
      <c r="C10" s="2" t="s">
        <v>96</v>
      </c>
      <c r="D10" s="2" t="s">
        <v>97</v>
      </c>
      <c r="E10" s="2" t="s">
        <v>18</v>
      </c>
      <c r="F10" s="2" t="s">
        <v>98</v>
      </c>
      <c r="G10" s="2"/>
      <c r="H10" s="2" t="s">
        <v>99</v>
      </c>
      <c r="I10" s="2" t="s">
        <v>100</v>
      </c>
      <c r="J10" s="2" t="s">
        <v>101</v>
      </c>
      <c r="K10" s="2" t="s">
        <v>102</v>
      </c>
      <c r="L10" s="2" t="s">
        <v>103</v>
      </c>
      <c r="M10" s="2" t="s">
        <v>104</v>
      </c>
      <c r="N10" s="2" t="s">
        <v>26</v>
      </c>
      <c r="O10" s="2" t="s">
        <v>27</v>
      </c>
    </row>
    <row r="11" spans="1:15">
      <c r="A11" s="2">
        <v>10</v>
      </c>
      <c r="B11" s="2" t="s">
        <v>105</v>
      </c>
      <c r="C11" s="2" t="s">
        <v>106</v>
      </c>
      <c r="D11" s="2" t="s">
        <v>17</v>
      </c>
      <c r="E11" s="2" t="s">
        <v>18</v>
      </c>
      <c r="F11" s="2" t="s">
        <v>107</v>
      </c>
      <c r="G11" s="2"/>
      <c r="H11" s="2" t="s">
        <v>108</v>
      </c>
      <c r="I11" s="2" t="s">
        <v>109</v>
      </c>
      <c r="J11" s="2" t="s">
        <v>110</v>
      </c>
      <c r="K11" s="2" t="s">
        <v>111</v>
      </c>
      <c r="L11" s="2" t="s">
        <v>112</v>
      </c>
      <c r="M11" s="2" t="s">
        <v>113</v>
      </c>
      <c r="N11" s="2" t="s">
        <v>26</v>
      </c>
      <c r="O11" s="2" t="s">
        <v>114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115</v>
      </c>
      <c r="B1" s="1" t="s">
        <v>116</v>
      </c>
      <c r="C1" s="1" t="s">
        <v>117</v>
      </c>
      <c r="D1" s="1" t="s">
        <v>118</v>
      </c>
    </row>
    <row r="2" spans="1:4">
      <c r="A2" s="2" t="s">
        <v>119</v>
      </c>
      <c r="B2" s="2" t="s">
        <v>120</v>
      </c>
      <c r="C2" s="2" t="s">
        <v>121</v>
      </c>
      <c r="D2" s="2" t="s">
        <v>122</v>
      </c>
    </row>
    <row r="3" spans="1:4">
      <c r="A3" s="2" t="s">
        <v>123</v>
      </c>
      <c r="B3" s="2" t="s">
        <v>124</v>
      </c>
      <c r="C3" s="2" t="s">
        <v>125</v>
      </c>
      <c r="D3" s="2" t="s">
        <v>126</v>
      </c>
    </row>
    <row r="4" spans="1:4">
      <c r="A4" s="2" t="s">
        <v>127</v>
      </c>
      <c r="B4" s="2" t="s">
        <v>128</v>
      </c>
      <c r="C4" s="2" t="s">
        <v>129</v>
      </c>
      <c r="D4" s="2" t="s">
        <v>130</v>
      </c>
    </row>
    <row r="5" spans="1:4">
      <c r="A5" s="2" t="s">
        <v>131</v>
      </c>
      <c r="B5" s="2" t="s">
        <v>132</v>
      </c>
      <c r="C5" s="2" t="s">
        <v>133</v>
      </c>
      <c r="D5" s="2" t="s">
        <v>134</v>
      </c>
    </row>
    <row r="6" spans="1:4">
      <c r="A6" s="2" t="s">
        <v>135</v>
      </c>
      <c r="B6" s="2" t="s">
        <v>136</v>
      </c>
      <c r="C6" s="2" t="s">
        <v>137</v>
      </c>
      <c r="D6" s="2" t="s">
        <v>138</v>
      </c>
    </row>
    <row r="7" spans="1:4">
      <c r="A7" s="2" t="s">
        <v>139</v>
      </c>
      <c r="B7" s="2" t="s">
        <v>140</v>
      </c>
      <c r="C7" s="2" t="s">
        <v>141</v>
      </c>
      <c r="D7" s="2" t="s">
        <v>142</v>
      </c>
    </row>
    <row r="8" spans="1:4">
      <c r="A8" s="2" t="s">
        <v>143</v>
      </c>
      <c r="B8" s="2" t="s">
        <v>144</v>
      </c>
      <c r="C8" s="2" t="s">
        <v>145</v>
      </c>
      <c r="D8" s="2" t="s">
        <v>146</v>
      </c>
    </row>
    <row r="9" spans="1:4">
      <c r="A9" s="2" t="s">
        <v>147</v>
      </c>
      <c r="B9" s="2" t="s">
        <v>148</v>
      </c>
      <c r="C9" s="2" t="s">
        <v>149</v>
      </c>
      <c r="D9" s="2" t="s">
        <v>150</v>
      </c>
    </row>
    <row r="10" spans="1:4">
      <c r="A10" s="2" t="s">
        <v>151</v>
      </c>
      <c r="B10" s="2" t="s">
        <v>152</v>
      </c>
      <c r="C10" s="2" t="s">
        <v>153</v>
      </c>
      <c r="D10" s="2" t="s">
        <v>154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155</v>
      </c>
      <c r="B1" s="1" t="s">
        <v>156</v>
      </c>
      <c r="C1" s="1" t="s">
        <v>157</v>
      </c>
      <c r="D1" s="1" t="s">
        <v>158</v>
      </c>
      <c r="E1" s="1" t="s">
        <v>159</v>
      </c>
      <c r="F1" s="1" t="s">
        <v>160</v>
      </c>
      <c r="G1" s="1" t="s">
        <v>161</v>
      </c>
      <c r="H1" s="1" t="s">
        <v>162</v>
      </c>
      <c r="I1" s="1" t="s">
        <v>163</v>
      </c>
      <c r="J1" s="1" t="s">
        <v>116</v>
      </c>
      <c r="K1" s="1" t="s">
        <v>164</v>
      </c>
      <c r="L1" s="1" t="s">
        <v>165</v>
      </c>
      <c r="M1" s="1" t="s">
        <v>166</v>
      </c>
      <c r="N1" s="1" t="s">
        <v>167</v>
      </c>
      <c r="O1" s="1" t="s">
        <v>168</v>
      </c>
      <c r="P1" s="1" t="s">
        <v>169</v>
      </c>
      <c r="Q1" s="1" t="s">
        <v>170</v>
      </c>
      <c r="R1" s="1" t="s">
        <v>171</v>
      </c>
    </row>
    <row r="2" spans="1:18">
      <c r="A2" s="2" t="s">
        <v>15</v>
      </c>
      <c r="B2" s="2">
        <v>1</v>
      </c>
      <c r="C2" s="2" t="s">
        <v>20</v>
      </c>
      <c r="D2" s="2" t="s">
        <v>172</v>
      </c>
      <c r="E2" s="2" t="s">
        <v>173</v>
      </c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 t="s">
        <v>174</v>
      </c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 t="s">
        <v>172</v>
      </c>
      <c r="E3" s="2" t="s">
        <v>173</v>
      </c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 t="s">
        <v>174</v>
      </c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 t="s">
        <v>172</v>
      </c>
      <c r="E4" s="2" t="s">
        <v>173</v>
      </c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 t="s">
        <v>174</v>
      </c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52</v>
      </c>
      <c r="D5" s="2" t="s">
        <v>172</v>
      </c>
      <c r="E5" s="2" t="s">
        <v>173</v>
      </c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 t="s">
        <v>174</v>
      </c>
      <c r="O5" s="2"/>
      <c r="P5" s="2" t="s">
        <v>26</v>
      </c>
      <c r="Q5" s="2" t="s">
        <v>57</v>
      </c>
      <c r="R5" s="3">
        <v>150</v>
      </c>
    </row>
    <row r="6" spans="1:18">
      <c r="A6" s="2" t="s">
        <v>58</v>
      </c>
      <c r="B6" s="2">
        <v>5</v>
      </c>
      <c r="C6" s="2" t="s">
        <v>62</v>
      </c>
      <c r="D6" s="2" t="s">
        <v>172</v>
      </c>
      <c r="E6" s="2" t="s">
        <v>173</v>
      </c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 t="s">
        <v>174</v>
      </c>
      <c r="O6" s="2"/>
      <c r="P6" s="2" t="s">
        <v>26</v>
      </c>
      <c r="Q6" s="2" t="s">
        <v>67</v>
      </c>
      <c r="R6" s="3">
        <v>150</v>
      </c>
    </row>
    <row r="7" spans="1:18">
      <c r="A7" s="2" t="s">
        <v>68</v>
      </c>
      <c r="B7" s="2">
        <v>6</v>
      </c>
      <c r="C7" s="2" t="s">
        <v>71</v>
      </c>
      <c r="D7" s="2" t="s">
        <v>172</v>
      </c>
      <c r="E7" s="2" t="s">
        <v>173</v>
      </c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 t="s">
        <v>174</v>
      </c>
      <c r="O7" s="2"/>
      <c r="P7" s="2" t="s">
        <v>26</v>
      </c>
      <c r="Q7" s="2" t="s">
        <v>76</v>
      </c>
      <c r="R7" s="3">
        <v>150</v>
      </c>
    </row>
    <row r="8" spans="1:18">
      <c r="A8" s="2" t="s">
        <v>77</v>
      </c>
      <c r="B8" s="2">
        <v>7</v>
      </c>
      <c r="C8" s="2" t="s">
        <v>80</v>
      </c>
      <c r="D8" s="2" t="s">
        <v>172</v>
      </c>
      <c r="E8" s="2" t="s">
        <v>173</v>
      </c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 t="s">
        <v>174</v>
      </c>
      <c r="O8" s="2"/>
      <c r="P8" s="2" t="s">
        <v>26</v>
      </c>
      <c r="Q8" s="2" t="s">
        <v>85</v>
      </c>
      <c r="R8" s="3">
        <v>150</v>
      </c>
    </row>
    <row r="9" spans="1:18">
      <c r="A9" s="2" t="s">
        <v>86</v>
      </c>
      <c r="B9" s="2">
        <v>8</v>
      </c>
      <c r="C9" s="2" t="s">
        <v>89</v>
      </c>
      <c r="D9" s="2" t="s">
        <v>172</v>
      </c>
      <c r="E9" s="2" t="s">
        <v>173</v>
      </c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 t="s">
        <v>174</v>
      </c>
      <c r="O9" s="2"/>
      <c r="P9" s="2" t="s">
        <v>26</v>
      </c>
      <c r="Q9" s="2" t="s">
        <v>94</v>
      </c>
      <c r="R9" s="3">
        <v>150</v>
      </c>
    </row>
    <row r="10" spans="1:18">
      <c r="A10" s="2" t="s">
        <v>95</v>
      </c>
      <c r="B10" s="2">
        <v>9</v>
      </c>
      <c r="C10" s="2" t="s">
        <v>99</v>
      </c>
      <c r="D10" s="2" t="s">
        <v>172</v>
      </c>
      <c r="E10" s="2" t="s">
        <v>173</v>
      </c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 t="s">
        <v>174</v>
      </c>
      <c r="O10" s="2"/>
      <c r="P10" s="2" t="s">
        <v>26</v>
      </c>
      <c r="Q10" s="2" t="s">
        <v>104</v>
      </c>
      <c r="R10" s="3">
        <v>150</v>
      </c>
    </row>
    <row r="11" spans="1:18">
      <c r="A11" s="2" t="s">
        <v>105</v>
      </c>
      <c r="B11" s="2">
        <v>10</v>
      </c>
      <c r="C11" s="2" t="s">
        <v>108</v>
      </c>
      <c r="D11" s="2" t="s">
        <v>172</v>
      </c>
      <c r="E11" s="2" t="s">
        <v>173</v>
      </c>
      <c r="F11" s="2"/>
      <c r="G11" s="2"/>
      <c r="H11" s="2"/>
      <c r="I11" s="2"/>
      <c r="J11" s="2" t="s">
        <v>114</v>
      </c>
      <c r="K11" s="3">
        <v>0</v>
      </c>
      <c r="L11" s="3">
        <v>0</v>
      </c>
      <c r="M11" s="2"/>
      <c r="N11" s="2" t="s">
        <v>175</v>
      </c>
      <c r="O11" s="2"/>
      <c r="P11" s="2" t="s">
        <v>26</v>
      </c>
      <c r="Q11" s="2" t="s">
        <v>113</v>
      </c>
      <c r="R11" s="3">
        <v>150</v>
      </c>
    </row>
    <row r="12" spans="1:18">
      <c r="A12" s="2" t="s">
        <v>176</v>
      </c>
      <c r="B12" s="2" t="s">
        <v>177</v>
      </c>
      <c r="C12" s="2" t="s">
        <v>178</v>
      </c>
      <c r="D12" s="2" t="s">
        <v>179</v>
      </c>
      <c r="E12" s="2" t="s">
        <v>180</v>
      </c>
      <c r="F12" s="2" t="s">
        <v>181</v>
      </c>
      <c r="G12" s="2"/>
      <c r="H12" s="2"/>
      <c r="I12" s="2"/>
      <c r="J12" s="2" t="s">
        <v>27</v>
      </c>
      <c r="K12" s="3">
        <v>0</v>
      </c>
      <c r="L12" s="3">
        <v>0</v>
      </c>
      <c r="M12" s="2"/>
      <c r="N12" s="2" t="s">
        <v>182</v>
      </c>
      <c r="O12" s="2"/>
      <c r="P12" s="2"/>
      <c r="Q12" s="2"/>
      <c r="R12" s="3">
        <v>150</v>
      </c>
    </row>
    <row r="13" spans="1:18">
      <c r="A13" s="2" t="s">
        <v>183</v>
      </c>
      <c r="B13" s="2" t="s">
        <v>177</v>
      </c>
      <c r="C13" s="2" t="s">
        <v>178</v>
      </c>
      <c r="D13" s="2" t="s">
        <v>184</v>
      </c>
      <c r="E13" s="2" t="s">
        <v>185</v>
      </c>
      <c r="F13" s="2" t="s">
        <v>186</v>
      </c>
      <c r="G13" s="2" t="s">
        <v>185</v>
      </c>
      <c r="H13" s="2" t="s">
        <v>187</v>
      </c>
      <c r="I13" s="2"/>
      <c r="J13" s="2" t="s">
        <v>27</v>
      </c>
      <c r="K13" s="3">
        <v>0</v>
      </c>
      <c r="L13" s="3">
        <v>0</v>
      </c>
      <c r="M13" s="2"/>
      <c r="N13" s="2" t="s">
        <v>188</v>
      </c>
      <c r="O13" s="2"/>
      <c r="P13" s="2"/>
      <c r="Q13" s="2"/>
      <c r="R13" s="3">
        <v>150</v>
      </c>
    </row>
    <row r="14" spans="1:18">
      <c r="A14" s="2" t="s">
        <v>189</v>
      </c>
      <c r="B14" s="2" t="s">
        <v>177</v>
      </c>
      <c r="C14" s="2" t="s">
        <v>178</v>
      </c>
      <c r="D14" s="2" t="s">
        <v>190</v>
      </c>
      <c r="E14" s="2" t="s">
        <v>191</v>
      </c>
      <c r="F14" s="2"/>
      <c r="G14" s="2"/>
      <c r="H14" s="2"/>
      <c r="I14" s="2"/>
      <c r="J14" s="2" t="s">
        <v>27</v>
      </c>
      <c r="K14" s="3">
        <v>0</v>
      </c>
      <c r="L14" s="3">
        <v>0</v>
      </c>
      <c r="M14" s="2"/>
      <c r="N14" s="2" t="s">
        <v>192</v>
      </c>
      <c r="O14" s="2"/>
      <c r="P14" s="2"/>
      <c r="Q14" s="2"/>
      <c r="R14" s="3">
        <v>150</v>
      </c>
    </row>
    <row r="15" spans="1:18">
      <c r="A15" s="2" t="s">
        <v>193</v>
      </c>
      <c r="B15" s="2" t="s">
        <v>177</v>
      </c>
      <c r="C15" s="2" t="s">
        <v>178</v>
      </c>
      <c r="D15" s="2" t="s">
        <v>194</v>
      </c>
      <c r="E15" s="2" t="s">
        <v>191</v>
      </c>
      <c r="F15" s="2"/>
      <c r="G15" s="2"/>
      <c r="H15" s="2"/>
      <c r="I15" s="2"/>
      <c r="J15" s="2" t="s">
        <v>27</v>
      </c>
      <c r="K15" s="3">
        <v>0</v>
      </c>
      <c r="L15" s="3">
        <v>0</v>
      </c>
      <c r="M15" s="2"/>
      <c r="N15" s="2" t="s">
        <v>192</v>
      </c>
      <c r="O15" s="2"/>
      <c r="P15" s="2"/>
      <c r="Q15" s="2"/>
      <c r="R15" s="3">
        <v>150</v>
      </c>
    </row>
    <row r="16" spans="1:18">
      <c r="A16" s="2" t="s">
        <v>195</v>
      </c>
      <c r="B16" s="2" t="s">
        <v>177</v>
      </c>
      <c r="C16" s="2" t="s">
        <v>178</v>
      </c>
      <c r="D16" s="2" t="s">
        <v>196</v>
      </c>
      <c r="E16" s="2" t="s">
        <v>191</v>
      </c>
      <c r="F16" s="2"/>
      <c r="G16" s="2"/>
      <c r="H16" s="2"/>
      <c r="I16" s="2"/>
      <c r="J16" s="2" t="s">
        <v>27</v>
      </c>
      <c r="K16" s="3">
        <v>0</v>
      </c>
      <c r="L16" s="3">
        <v>0</v>
      </c>
      <c r="M16" s="2"/>
      <c r="N16" s="2" t="s">
        <v>197</v>
      </c>
      <c r="O16" s="2"/>
      <c r="P16" s="2"/>
      <c r="Q16" s="2"/>
      <c r="R16" s="3">
        <v>150</v>
      </c>
    </row>
    <row r="17" spans="1:18">
      <c r="A17" s="2" t="s">
        <v>198</v>
      </c>
      <c r="B17" s="2" t="s">
        <v>177</v>
      </c>
      <c r="C17" s="2" t="s">
        <v>178</v>
      </c>
      <c r="D17" s="2" t="s">
        <v>199</v>
      </c>
      <c r="E17" s="2" t="s">
        <v>200</v>
      </c>
      <c r="F17" s="2"/>
      <c r="G17" s="2"/>
      <c r="H17" s="2"/>
      <c r="I17" s="2"/>
      <c r="J17" s="2" t="s">
        <v>27</v>
      </c>
      <c r="K17" s="3">
        <v>0</v>
      </c>
      <c r="L17" s="3">
        <v>0</v>
      </c>
      <c r="M17" s="2"/>
      <c r="N17" s="2" t="s">
        <v>197</v>
      </c>
      <c r="O17" s="2"/>
      <c r="P17" s="2"/>
      <c r="Q17" s="2"/>
      <c r="R17" s="3">
        <v>150</v>
      </c>
    </row>
    <row r="18" spans="1:18">
      <c r="A18" s="2" t="s">
        <v>201</v>
      </c>
      <c r="B18" s="2" t="s">
        <v>177</v>
      </c>
      <c r="C18" s="2" t="s">
        <v>178</v>
      </c>
      <c r="D18" s="2" t="s">
        <v>202</v>
      </c>
      <c r="E18" s="2" t="s">
        <v>200</v>
      </c>
      <c r="F18" s="2"/>
      <c r="G18" s="2"/>
      <c r="H18" s="2"/>
      <c r="I18" s="2"/>
      <c r="J18" s="2" t="s">
        <v>27</v>
      </c>
      <c r="K18" s="3">
        <v>0</v>
      </c>
      <c r="L18" s="3">
        <v>0</v>
      </c>
      <c r="M18" s="2"/>
      <c r="N18" s="2" t="s">
        <v>197</v>
      </c>
      <c r="O18" s="2"/>
      <c r="P18" s="2"/>
      <c r="Q18" s="2"/>
      <c r="R18" s="3">
        <v>150</v>
      </c>
    </row>
    <row r="19" spans="1:18">
      <c r="A19" s="2" t="s">
        <v>203</v>
      </c>
      <c r="B19" s="2" t="s">
        <v>177</v>
      </c>
      <c r="C19" s="2" t="s">
        <v>178</v>
      </c>
      <c r="D19" s="2" t="s">
        <v>204</v>
      </c>
      <c r="E19" s="2" t="s">
        <v>200</v>
      </c>
      <c r="F19" s="2"/>
      <c r="G19" s="2"/>
      <c r="H19" s="2"/>
      <c r="I19" s="2"/>
      <c r="J19" s="2" t="s">
        <v>27</v>
      </c>
      <c r="K19" s="3">
        <v>0</v>
      </c>
      <c r="L19" s="3">
        <v>0</v>
      </c>
      <c r="M19" s="2"/>
      <c r="N19" s="2" t="s">
        <v>197</v>
      </c>
      <c r="O19" s="2"/>
      <c r="P19" s="2"/>
      <c r="Q19" s="2"/>
      <c r="R19" s="3">
        <v>150</v>
      </c>
    </row>
    <row r="20" spans="1:18">
      <c r="A20" s="2" t="s">
        <v>205</v>
      </c>
      <c r="B20" s="2" t="s">
        <v>177</v>
      </c>
      <c r="C20" s="2" t="s">
        <v>178</v>
      </c>
      <c r="D20" s="2" t="s">
        <v>206</v>
      </c>
      <c r="E20" s="2" t="s">
        <v>200</v>
      </c>
      <c r="F20" s="2"/>
      <c r="G20" s="2"/>
      <c r="H20" s="2"/>
      <c r="I20" s="2"/>
      <c r="J20" s="2" t="s">
        <v>27</v>
      </c>
      <c r="K20" s="3">
        <v>0</v>
      </c>
      <c r="L20" s="3">
        <v>0</v>
      </c>
      <c r="M20" s="2"/>
      <c r="N20" s="2" t="s">
        <v>197</v>
      </c>
      <c r="O20" s="2"/>
      <c r="P20" s="2"/>
      <c r="Q20" s="2"/>
      <c r="R20" s="3">
        <v>150</v>
      </c>
    </row>
    <row r="21" spans="1:18">
      <c r="A21" s="2" t="s">
        <v>207</v>
      </c>
      <c r="B21" s="2" t="s">
        <v>177</v>
      </c>
      <c r="C21" s="2" t="s">
        <v>178</v>
      </c>
      <c r="D21" s="2" t="s">
        <v>208</v>
      </c>
      <c r="E21" s="2" t="s">
        <v>200</v>
      </c>
      <c r="F21" s="2"/>
      <c r="G21" s="2"/>
      <c r="H21" s="2"/>
      <c r="I21" s="2"/>
      <c r="J21" s="2" t="s">
        <v>27</v>
      </c>
      <c r="K21" s="3">
        <v>0</v>
      </c>
      <c r="L21" s="3">
        <v>0</v>
      </c>
      <c r="M21" s="2"/>
      <c r="N21" s="2" t="s">
        <v>197</v>
      </c>
      <c r="O21" s="2"/>
      <c r="P21" s="2"/>
      <c r="Q21" s="2"/>
      <c r="R21" s="3">
        <v>150</v>
      </c>
    </row>
    <row r="22" spans="1:18">
      <c r="A22" s="2" t="s">
        <v>209</v>
      </c>
      <c r="B22" s="2" t="s">
        <v>177</v>
      </c>
      <c r="C22" s="2" t="s">
        <v>178</v>
      </c>
      <c r="D22" s="2" t="s">
        <v>210</v>
      </c>
      <c r="E22" s="2" t="s">
        <v>191</v>
      </c>
      <c r="F22" s="2" t="s">
        <v>211</v>
      </c>
      <c r="G22" s="2"/>
      <c r="H22" s="2"/>
      <c r="I22" s="2"/>
      <c r="J22" s="2" t="s">
        <v>27</v>
      </c>
      <c r="K22" s="3">
        <v>0</v>
      </c>
      <c r="L22" s="3">
        <v>0</v>
      </c>
      <c r="M22" s="2"/>
      <c r="N22" s="2" t="s">
        <v>212</v>
      </c>
      <c r="O22" s="2"/>
      <c r="P22" s="2"/>
      <c r="Q22" s="2"/>
      <c r="R22" s="3">
        <v>150</v>
      </c>
    </row>
    <row r="23" spans="1:18">
      <c r="A23" s="2" t="s">
        <v>213</v>
      </c>
      <c r="B23" s="2" t="s">
        <v>177</v>
      </c>
      <c r="C23" s="2" t="s">
        <v>178</v>
      </c>
      <c r="D23" s="2" t="s">
        <v>214</v>
      </c>
      <c r="E23" s="2" t="s">
        <v>191</v>
      </c>
      <c r="F23" s="2"/>
      <c r="G23" s="2"/>
      <c r="H23" s="2"/>
      <c r="I23" s="2"/>
      <c r="J23" s="2" t="s">
        <v>27</v>
      </c>
      <c r="K23" s="3">
        <v>0</v>
      </c>
      <c r="L23" s="3">
        <v>0</v>
      </c>
      <c r="M23" s="2"/>
      <c r="N23" s="2" t="s">
        <v>197</v>
      </c>
      <c r="O23" s="2"/>
      <c r="P23" s="2"/>
      <c r="Q23" s="2"/>
      <c r="R23" s="3">
        <v>150</v>
      </c>
    </row>
    <row r="24" spans="1:18">
      <c r="A24" s="2" t="s">
        <v>215</v>
      </c>
      <c r="B24" s="2" t="s">
        <v>177</v>
      </c>
      <c r="C24" s="2" t="s">
        <v>178</v>
      </c>
      <c r="D24" s="2" t="s">
        <v>216</v>
      </c>
      <c r="E24" s="2" t="s">
        <v>191</v>
      </c>
      <c r="F24" s="2"/>
      <c r="G24" s="2"/>
      <c r="H24" s="2"/>
      <c r="I24" s="2"/>
      <c r="J24" s="2" t="s">
        <v>27</v>
      </c>
      <c r="K24" s="3">
        <v>0</v>
      </c>
      <c r="L24" s="3">
        <v>0</v>
      </c>
      <c r="M24" s="2"/>
      <c r="N24" s="2" t="s">
        <v>197</v>
      </c>
      <c r="O24" s="2"/>
      <c r="P24" s="2"/>
      <c r="Q24" s="2"/>
      <c r="R24" s="3">
        <v>150</v>
      </c>
    </row>
    <row r="25" spans="1:18">
      <c r="A25" s="2" t="s">
        <v>217</v>
      </c>
      <c r="B25" s="2" t="s">
        <v>177</v>
      </c>
      <c r="C25" s="2" t="s">
        <v>178</v>
      </c>
      <c r="D25" s="2" t="s">
        <v>218</v>
      </c>
      <c r="E25" s="2" t="s">
        <v>191</v>
      </c>
      <c r="F25" s="2"/>
      <c r="G25" s="2"/>
      <c r="H25" s="2"/>
      <c r="I25" s="2"/>
      <c r="J25" s="2" t="s">
        <v>27</v>
      </c>
      <c r="K25" s="3">
        <v>0</v>
      </c>
      <c r="L25" s="3">
        <v>0</v>
      </c>
      <c r="M25" s="2"/>
      <c r="N25" s="2" t="s">
        <v>197</v>
      </c>
      <c r="O25" s="2"/>
      <c r="P25" s="2"/>
      <c r="Q25" s="2"/>
      <c r="R25" s="3">
        <v>150</v>
      </c>
    </row>
    <row r="26" spans="1:18">
      <c r="A26" s="2" t="s">
        <v>219</v>
      </c>
      <c r="B26" s="2" t="s">
        <v>177</v>
      </c>
      <c r="C26" s="2" t="s">
        <v>178</v>
      </c>
      <c r="D26" s="2" t="s">
        <v>220</v>
      </c>
      <c r="E26" s="2" t="s">
        <v>191</v>
      </c>
      <c r="F26" s="2"/>
      <c r="G26" s="2"/>
      <c r="H26" s="2"/>
      <c r="I26" s="2"/>
      <c r="J26" s="2" t="s">
        <v>27</v>
      </c>
      <c r="K26" s="3">
        <v>0</v>
      </c>
      <c r="L26" s="3">
        <v>0</v>
      </c>
      <c r="M26" s="2"/>
      <c r="N26" s="2" t="s">
        <v>197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158</v>
      </c>
      <c r="C1" s="1" t="s">
        <v>221</v>
      </c>
      <c r="D1" s="1" t="s">
        <v>160</v>
      </c>
      <c r="E1" s="1" t="s">
        <v>222</v>
      </c>
      <c r="F1" s="1" t="s">
        <v>162</v>
      </c>
      <c r="G1" s="1" t="s">
        <v>223</v>
      </c>
      <c r="H1" s="1" t="s">
        <v>163</v>
      </c>
      <c r="I1" s="1" t="s">
        <v>116</v>
      </c>
      <c r="J1" s="1" t="s">
        <v>167</v>
      </c>
      <c r="K1" s="1" t="s">
        <v>165</v>
      </c>
      <c r="L1" s="1" t="s">
        <v>166</v>
      </c>
    </row>
    <row r="2" spans="1:12">
      <c r="A2" s="2" t="s">
        <v>183</v>
      </c>
      <c r="B2" s="2" t="s">
        <v>184</v>
      </c>
      <c r="C2" s="2" t="s">
        <v>224</v>
      </c>
      <c r="D2" s="2" t="s">
        <v>186</v>
      </c>
      <c r="E2" s="2" t="s">
        <v>225</v>
      </c>
      <c r="F2" s="2" t="s">
        <v>187</v>
      </c>
      <c r="G2" s="2" t="s">
        <v>226</v>
      </c>
      <c r="H2" s="2"/>
      <c r="I2" s="2" t="s">
        <v>27</v>
      </c>
      <c r="J2" s="2" t="s">
        <v>188</v>
      </c>
      <c r="K2" s="3">
        <v>0</v>
      </c>
      <c r="L2" s="2"/>
    </row>
    <row r="3" spans="1:12">
      <c r="A3" s="2" t="s">
        <v>219</v>
      </c>
      <c r="B3" s="2" t="s">
        <v>220</v>
      </c>
      <c r="C3" s="2" t="s">
        <v>227</v>
      </c>
      <c r="D3" s="2"/>
      <c r="E3" s="2"/>
      <c r="F3" s="2"/>
      <c r="G3" s="2"/>
      <c r="H3" s="2"/>
      <c r="I3" s="2" t="s">
        <v>27</v>
      </c>
      <c r="J3" s="2" t="s">
        <v>197</v>
      </c>
      <c r="K3" s="3">
        <v>0</v>
      </c>
      <c r="L3" s="2"/>
    </row>
    <row r="4" spans="1:12">
      <c r="A4" s="2" t="s">
        <v>193</v>
      </c>
      <c r="B4" s="2" t="s">
        <v>194</v>
      </c>
      <c r="C4" s="2" t="s">
        <v>228</v>
      </c>
      <c r="D4" s="2"/>
      <c r="E4" s="2"/>
      <c r="F4" s="2"/>
      <c r="G4" s="2"/>
      <c r="H4" s="2"/>
      <c r="I4" s="2" t="s">
        <v>27</v>
      </c>
      <c r="J4" s="2" t="s">
        <v>192</v>
      </c>
      <c r="K4" s="3">
        <v>0</v>
      </c>
      <c r="L4" s="2"/>
    </row>
    <row r="5" spans="1:12">
      <c r="A5" s="2" t="s">
        <v>209</v>
      </c>
      <c r="B5" s="2" t="s">
        <v>210</v>
      </c>
      <c r="C5" s="2" t="s">
        <v>229</v>
      </c>
      <c r="D5" s="2" t="s">
        <v>211</v>
      </c>
      <c r="E5" s="2" t="s">
        <v>230</v>
      </c>
      <c r="F5" s="2"/>
      <c r="G5" s="2"/>
      <c r="H5" s="2"/>
      <c r="I5" s="2" t="s">
        <v>27</v>
      </c>
      <c r="J5" s="2" t="s">
        <v>212</v>
      </c>
      <c r="K5" s="3">
        <v>0</v>
      </c>
      <c r="L5" s="2"/>
    </row>
    <row r="6" spans="1:12">
      <c r="A6" s="2" t="s">
        <v>217</v>
      </c>
      <c r="B6" s="2" t="s">
        <v>218</v>
      </c>
      <c r="C6" s="2" t="s">
        <v>231</v>
      </c>
      <c r="D6" s="2"/>
      <c r="E6" s="2"/>
      <c r="F6" s="2"/>
      <c r="G6" s="2"/>
      <c r="H6" s="2"/>
      <c r="I6" s="2" t="s">
        <v>27</v>
      </c>
      <c r="J6" s="2" t="s">
        <v>197</v>
      </c>
      <c r="K6" s="3">
        <v>0</v>
      </c>
      <c r="L6" s="2"/>
    </row>
    <row r="7" spans="1:12">
      <c r="A7" s="2" t="s">
        <v>215</v>
      </c>
      <c r="B7" s="2" t="s">
        <v>216</v>
      </c>
      <c r="C7" s="2" t="s">
        <v>232</v>
      </c>
      <c r="D7" s="2"/>
      <c r="E7" s="2"/>
      <c r="F7" s="2"/>
      <c r="G7" s="2"/>
      <c r="H7" s="2"/>
      <c r="I7" s="2" t="s">
        <v>27</v>
      </c>
      <c r="J7" s="2" t="s">
        <v>197</v>
      </c>
      <c r="K7" s="3">
        <v>0</v>
      </c>
      <c r="L7" s="2"/>
    </row>
    <row r="8" spans="1:12">
      <c r="A8" s="2" t="s">
        <v>189</v>
      </c>
      <c r="B8" s="2" t="s">
        <v>190</v>
      </c>
      <c r="C8" s="2" t="s">
        <v>233</v>
      </c>
      <c r="D8" s="2"/>
      <c r="E8" s="2"/>
      <c r="F8" s="2"/>
      <c r="G8" s="2"/>
      <c r="H8" s="2"/>
      <c r="I8" s="2" t="s">
        <v>27</v>
      </c>
      <c r="J8" s="2" t="s">
        <v>192</v>
      </c>
      <c r="K8" s="3">
        <v>0</v>
      </c>
      <c r="L8" s="2"/>
    </row>
    <row r="9" spans="1:12">
      <c r="A9" s="2" t="s">
        <v>176</v>
      </c>
      <c r="B9" s="2" t="s">
        <v>179</v>
      </c>
      <c r="C9" s="2" t="s">
        <v>234</v>
      </c>
      <c r="D9" s="2" t="s">
        <v>181</v>
      </c>
      <c r="E9" s="2" t="s">
        <v>235</v>
      </c>
      <c r="F9" s="2"/>
      <c r="G9" s="2"/>
      <c r="H9" s="2"/>
      <c r="I9" s="2" t="s">
        <v>27</v>
      </c>
      <c r="J9" s="2" t="s">
        <v>182</v>
      </c>
      <c r="K9" s="3">
        <v>0</v>
      </c>
      <c r="L9" s="2"/>
    </row>
    <row r="10" spans="1:12">
      <c r="A10" s="2" t="s">
        <v>195</v>
      </c>
      <c r="B10" s="2" t="s">
        <v>196</v>
      </c>
      <c r="C10" s="2" t="s">
        <v>236</v>
      </c>
      <c r="D10" s="2"/>
      <c r="E10" s="2"/>
      <c r="F10" s="2"/>
      <c r="G10" s="2"/>
      <c r="H10" s="2"/>
      <c r="I10" s="2" t="s">
        <v>27</v>
      </c>
      <c r="J10" s="2" t="s">
        <v>197</v>
      </c>
      <c r="K10" s="3">
        <v>0</v>
      </c>
      <c r="L10" s="2"/>
    </row>
    <row r="11" spans="1:12">
      <c r="A11" s="2" t="s">
        <v>213</v>
      </c>
      <c r="B11" s="2" t="s">
        <v>214</v>
      </c>
      <c r="C11" s="2" t="s">
        <v>237</v>
      </c>
      <c r="D11" s="2"/>
      <c r="E11" s="2"/>
      <c r="F11" s="2"/>
      <c r="G11" s="2"/>
      <c r="H11" s="2"/>
      <c r="I11" s="2" t="s">
        <v>27</v>
      </c>
      <c r="J11" s="2" t="s">
        <v>197</v>
      </c>
      <c r="K11" s="3">
        <v>0</v>
      </c>
      <c r="L11" s="2"/>
    </row>
    <row r="12" spans="1:12">
      <c r="A12" s="2" t="s">
        <v>238</v>
      </c>
      <c r="B12" s="2" t="s">
        <v>239</v>
      </c>
      <c r="C12" s="2" t="s">
        <v>240</v>
      </c>
      <c r="D12" s="2"/>
      <c r="E12" s="2"/>
      <c r="F12" s="2"/>
      <c r="G12" s="2"/>
      <c r="H12" s="2"/>
      <c r="I12" s="2" t="s">
        <v>27</v>
      </c>
      <c r="J12" s="2" t="s">
        <v>241</v>
      </c>
      <c r="K12" s="3">
        <v>0</v>
      </c>
      <c r="L12" s="2"/>
    </row>
    <row r="13" spans="1:12">
      <c r="A13" s="2" t="s">
        <v>203</v>
      </c>
      <c r="B13" s="2" t="s">
        <v>204</v>
      </c>
      <c r="C13" s="2" t="s">
        <v>242</v>
      </c>
      <c r="D13" s="2"/>
      <c r="E13" s="2"/>
      <c r="F13" s="2"/>
      <c r="G13" s="2"/>
      <c r="H13" s="2"/>
      <c r="I13" s="2" t="s">
        <v>27</v>
      </c>
      <c r="J13" s="2" t="s">
        <v>197</v>
      </c>
      <c r="K13" s="3">
        <v>0</v>
      </c>
      <c r="L13" s="2"/>
    </row>
    <row r="14" spans="1:12">
      <c r="A14" s="2" t="s">
        <v>198</v>
      </c>
      <c r="B14" s="2" t="s">
        <v>199</v>
      </c>
      <c r="C14" s="2" t="s">
        <v>243</v>
      </c>
      <c r="D14" s="2"/>
      <c r="E14" s="2"/>
      <c r="F14" s="2"/>
      <c r="G14" s="2"/>
      <c r="H14" s="2"/>
      <c r="I14" s="2" t="s">
        <v>27</v>
      </c>
      <c r="J14" s="2" t="s">
        <v>197</v>
      </c>
      <c r="K14" s="3">
        <v>0</v>
      </c>
      <c r="L14" s="2"/>
    </row>
    <row r="15" spans="1:12">
      <c r="A15" s="2" t="s">
        <v>205</v>
      </c>
      <c r="B15" s="2" t="s">
        <v>206</v>
      </c>
      <c r="C15" s="2" t="s">
        <v>244</v>
      </c>
      <c r="D15" s="2"/>
      <c r="E15" s="2"/>
      <c r="F15" s="2"/>
      <c r="G15" s="2"/>
      <c r="H15" s="2"/>
      <c r="I15" s="2" t="s">
        <v>27</v>
      </c>
      <c r="J15" s="2" t="s">
        <v>197</v>
      </c>
      <c r="K15" s="3">
        <v>0</v>
      </c>
      <c r="L15" s="2"/>
    </row>
    <row r="16" spans="1:12">
      <c r="A16" s="2" t="s">
        <v>207</v>
      </c>
      <c r="B16" s="2" t="s">
        <v>208</v>
      </c>
      <c r="C16" s="2" t="s">
        <v>245</v>
      </c>
      <c r="D16" s="2"/>
      <c r="E16" s="2"/>
      <c r="F16" s="2"/>
      <c r="G16" s="2"/>
      <c r="H16" s="2"/>
      <c r="I16" s="2" t="s">
        <v>27</v>
      </c>
      <c r="J16" s="2" t="s">
        <v>197</v>
      </c>
      <c r="K16" s="3">
        <v>0</v>
      </c>
      <c r="L16" s="2"/>
    </row>
    <row r="17" spans="1:12">
      <c r="A17" s="2" t="s">
        <v>201</v>
      </c>
      <c r="B17" s="2" t="s">
        <v>202</v>
      </c>
      <c r="C17" s="2" t="s">
        <v>246</v>
      </c>
      <c r="D17" s="2"/>
      <c r="E17" s="2"/>
      <c r="F17" s="2"/>
      <c r="G17" s="2"/>
      <c r="H17" s="2"/>
      <c r="I17" s="2" t="s">
        <v>27</v>
      </c>
      <c r="J17" s="2" t="s">
        <v>197</v>
      </c>
      <c r="K17" s="3">
        <v>0</v>
      </c>
      <c r="L17" s="2"/>
    </row>
    <row r="18" spans="1:12">
      <c r="A18" s="2" t="s">
        <v>15</v>
      </c>
      <c r="B18" s="2" t="s">
        <v>172</v>
      </c>
      <c r="C18" s="2" t="s">
        <v>247</v>
      </c>
      <c r="D18" s="2"/>
      <c r="E18" s="2"/>
      <c r="F18" s="2"/>
      <c r="G18" s="2"/>
      <c r="H18" s="2"/>
      <c r="I18" s="2" t="s">
        <v>27</v>
      </c>
      <c r="J18" s="2" t="s">
        <v>174</v>
      </c>
      <c r="K18" s="3">
        <v>0</v>
      </c>
      <c r="L18" s="2"/>
    </row>
    <row r="19" spans="1:12">
      <c r="A19" s="2" t="s">
        <v>28</v>
      </c>
      <c r="B19" s="2" t="s">
        <v>172</v>
      </c>
      <c r="C19" s="2" t="s">
        <v>248</v>
      </c>
      <c r="D19" s="2"/>
      <c r="E19" s="2"/>
      <c r="F19" s="2"/>
      <c r="G19" s="2"/>
      <c r="H19" s="2"/>
      <c r="I19" s="2" t="s">
        <v>27</v>
      </c>
      <c r="J19" s="2" t="s">
        <v>174</v>
      </c>
      <c r="K19" s="3">
        <v>0</v>
      </c>
      <c r="L19" s="2"/>
    </row>
    <row r="20" spans="1:12">
      <c r="A20" s="2" t="s">
        <v>38</v>
      </c>
      <c r="B20" s="2" t="s">
        <v>172</v>
      </c>
      <c r="C20" s="2" t="s">
        <v>249</v>
      </c>
      <c r="D20" s="2"/>
      <c r="E20" s="2"/>
      <c r="F20" s="2"/>
      <c r="G20" s="2"/>
      <c r="H20" s="2"/>
      <c r="I20" s="2" t="s">
        <v>27</v>
      </c>
      <c r="J20" s="2" t="s">
        <v>174</v>
      </c>
      <c r="K20" s="3">
        <v>0</v>
      </c>
      <c r="L20" s="2"/>
    </row>
    <row r="21" spans="1:12">
      <c r="A21" s="2" t="s">
        <v>48</v>
      </c>
      <c r="B21" s="2" t="s">
        <v>172</v>
      </c>
      <c r="C21" s="2" t="s">
        <v>250</v>
      </c>
      <c r="D21" s="2"/>
      <c r="E21" s="2"/>
      <c r="F21" s="2"/>
      <c r="G21" s="2"/>
      <c r="H21" s="2"/>
      <c r="I21" s="2" t="s">
        <v>27</v>
      </c>
      <c r="J21" s="2" t="s">
        <v>174</v>
      </c>
      <c r="K21" s="3">
        <v>0</v>
      </c>
      <c r="L21" s="2"/>
    </row>
    <row r="22" spans="1:12">
      <c r="A22" s="2" t="s">
        <v>58</v>
      </c>
      <c r="B22" s="2" t="s">
        <v>172</v>
      </c>
      <c r="C22" s="2" t="s">
        <v>251</v>
      </c>
      <c r="D22" s="2"/>
      <c r="E22" s="2"/>
      <c r="F22" s="2"/>
      <c r="G22" s="2"/>
      <c r="H22" s="2"/>
      <c r="I22" s="2" t="s">
        <v>27</v>
      </c>
      <c r="J22" s="2" t="s">
        <v>174</v>
      </c>
      <c r="K22" s="3">
        <v>0</v>
      </c>
      <c r="L22" s="2"/>
    </row>
    <row r="23" spans="1:12">
      <c r="A23" s="2" t="s">
        <v>68</v>
      </c>
      <c r="B23" s="2" t="s">
        <v>172</v>
      </c>
      <c r="C23" s="2" t="s">
        <v>252</v>
      </c>
      <c r="D23" s="2"/>
      <c r="E23" s="2"/>
      <c r="F23" s="2"/>
      <c r="G23" s="2"/>
      <c r="H23" s="2"/>
      <c r="I23" s="2" t="s">
        <v>27</v>
      </c>
      <c r="J23" s="2" t="s">
        <v>174</v>
      </c>
      <c r="K23" s="3">
        <v>0</v>
      </c>
      <c r="L23" s="2"/>
    </row>
    <row r="24" spans="1:12">
      <c r="A24" s="2" t="s">
        <v>77</v>
      </c>
      <c r="B24" s="2" t="s">
        <v>172</v>
      </c>
      <c r="C24" s="2" t="s">
        <v>253</v>
      </c>
      <c r="D24" s="2"/>
      <c r="E24" s="2"/>
      <c r="F24" s="2"/>
      <c r="G24" s="2"/>
      <c r="H24" s="2"/>
      <c r="I24" s="2" t="s">
        <v>27</v>
      </c>
      <c r="J24" s="2" t="s">
        <v>174</v>
      </c>
      <c r="K24" s="3">
        <v>0</v>
      </c>
      <c r="L24" s="2"/>
    </row>
    <row r="25" spans="1:12">
      <c r="A25" s="2" t="s">
        <v>86</v>
      </c>
      <c r="B25" s="2" t="s">
        <v>172</v>
      </c>
      <c r="C25" s="2" t="s">
        <v>254</v>
      </c>
      <c r="D25" s="2"/>
      <c r="E25" s="2"/>
      <c r="F25" s="2"/>
      <c r="G25" s="2"/>
      <c r="H25" s="2"/>
      <c r="I25" s="2" t="s">
        <v>27</v>
      </c>
      <c r="J25" s="2" t="s">
        <v>174</v>
      </c>
      <c r="K25" s="3">
        <v>0</v>
      </c>
      <c r="L25" s="2"/>
    </row>
    <row r="26" spans="1:12">
      <c r="A26" s="2" t="s">
        <v>95</v>
      </c>
      <c r="B26" s="2" t="s">
        <v>172</v>
      </c>
      <c r="C26" s="2" t="s">
        <v>255</v>
      </c>
      <c r="D26" s="2"/>
      <c r="E26" s="2"/>
      <c r="F26" s="2"/>
      <c r="G26" s="2"/>
      <c r="H26" s="2"/>
      <c r="I26" s="2" t="s">
        <v>27</v>
      </c>
      <c r="J26" s="2" t="s">
        <v>174</v>
      </c>
      <c r="K26" s="3">
        <v>0</v>
      </c>
      <c r="L26" s="2"/>
    </row>
    <row r="27" spans="1:12">
      <c r="A27" s="2" t="s">
        <v>105</v>
      </c>
      <c r="B27" s="2" t="s">
        <v>172</v>
      </c>
      <c r="C27" s="2" t="s">
        <v>256</v>
      </c>
      <c r="D27" s="2"/>
      <c r="E27" s="2"/>
      <c r="F27" s="2"/>
      <c r="G27" s="2"/>
      <c r="H27" s="2"/>
      <c r="I27" s="2" t="s">
        <v>114</v>
      </c>
      <c r="J27" s="2" t="s">
        <v>175</v>
      </c>
      <c r="K27" s="3">
        <v>0</v>
      </c>
      <c r="L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116</v>
      </c>
      <c r="C1" s="4" t="s">
        <v>158</v>
      </c>
      <c r="D1" s="4" t="s">
        <v>163</v>
      </c>
      <c r="E1" s="4" t="s">
        <v>164</v>
      </c>
      <c r="F1" s="4" t="s">
        <v>165</v>
      </c>
      <c r="G1" s="4" t="s">
        <v>257</v>
      </c>
      <c r="H1" s="4" t="s">
        <v>168</v>
      </c>
      <c r="I1" s="4" t="s">
        <v>167</v>
      </c>
    </row>
    <row r="2" spans="1:9">
      <c r="A2" s="2" t="s">
        <v>258</v>
      </c>
      <c r="B2" s="2" t="s">
        <v>259</v>
      </c>
      <c r="C2" s="2"/>
      <c r="D2" s="2"/>
      <c r="E2" s="3">
        <v>0</v>
      </c>
      <c r="F2" s="3">
        <v>0</v>
      </c>
      <c r="G2" s="2" t="s">
        <v>260</v>
      </c>
      <c r="H2" s="2"/>
      <c r="I2" s="2" t="s">
        <v>261</v>
      </c>
    </row>
    <row r="3" spans="1:9">
      <c r="A3" s="2" t="s">
        <v>262</v>
      </c>
      <c r="B3" s="2" t="s">
        <v>259</v>
      </c>
      <c r="C3" s="2"/>
      <c r="D3" s="2"/>
      <c r="E3" s="3">
        <v>0</v>
      </c>
      <c r="F3" s="3">
        <v>0</v>
      </c>
      <c r="G3" s="2" t="s">
        <v>263</v>
      </c>
      <c r="H3" s="2"/>
      <c r="I3" s="2"/>
    </row>
    <row r="4" spans="1:9">
      <c r="A4" s="2" t="s">
        <v>264</v>
      </c>
      <c r="B4" s="2" t="s">
        <v>259</v>
      </c>
      <c r="C4" s="2"/>
      <c r="D4" s="2"/>
      <c r="E4" s="3">
        <v>0</v>
      </c>
      <c r="F4" s="3">
        <v>0</v>
      </c>
      <c r="G4" s="2" t="s">
        <v>263</v>
      </c>
      <c r="H4" s="2"/>
      <c r="I4" s="2"/>
    </row>
    <row r="5" spans="1:9">
      <c r="A5" s="2" t="s">
        <v>238</v>
      </c>
      <c r="B5" s="2" t="s">
        <v>27</v>
      </c>
      <c r="C5" s="2" t="s">
        <v>239</v>
      </c>
      <c r="D5" s="2"/>
      <c r="E5" s="3">
        <v>0</v>
      </c>
      <c r="F5" s="3">
        <v>0</v>
      </c>
      <c r="G5" s="2" t="s">
        <v>263</v>
      </c>
      <c r="H5" s="2"/>
      <c r="I5" s="2" t="s">
        <v>241</v>
      </c>
    </row>
    <row r="6" spans="1:9">
      <c r="A6" s="2" t="s">
        <v>265</v>
      </c>
      <c r="B6" s="2" t="s">
        <v>259</v>
      </c>
      <c r="C6" s="2"/>
      <c r="D6" s="2"/>
      <c r="E6" s="3">
        <v>0</v>
      </c>
      <c r="F6" s="3">
        <v>0</v>
      </c>
      <c r="G6" s="2" t="s">
        <v>263</v>
      </c>
      <c r="H6" s="2"/>
      <c r="I6" s="2"/>
    </row>
    <row r="7" spans="1:9">
      <c r="A7" s="2" t="s">
        <v>266</v>
      </c>
      <c r="B7" s="2" t="s">
        <v>259</v>
      </c>
      <c r="C7" s="2"/>
      <c r="D7" s="2"/>
      <c r="E7" s="3">
        <v>0</v>
      </c>
      <c r="F7" s="3">
        <v>0</v>
      </c>
      <c r="G7" s="2" t="s">
        <v>263</v>
      </c>
      <c r="H7" s="2"/>
      <c r="I7" s="2"/>
    </row>
    <row r="8" spans="1:9">
      <c r="A8" s="2" t="s">
        <v>267</v>
      </c>
      <c r="B8" s="2" t="s">
        <v>259</v>
      </c>
      <c r="C8" s="2"/>
      <c r="D8" s="2"/>
      <c r="E8" s="3">
        <v>0</v>
      </c>
      <c r="F8" s="3">
        <v>0</v>
      </c>
      <c r="G8" s="2" t="s">
        <v>263</v>
      </c>
      <c r="H8" s="2"/>
      <c r="I8" s="2"/>
    </row>
    <row r="9" spans="1:9">
      <c r="A9" s="2" t="s">
        <v>268</v>
      </c>
      <c r="B9" s="2" t="s">
        <v>259</v>
      </c>
      <c r="C9" s="2"/>
      <c r="D9" s="2"/>
      <c r="E9" s="3">
        <v>0</v>
      </c>
      <c r="F9" s="3">
        <v>0</v>
      </c>
      <c r="G9" s="2" t="s">
        <v>185</v>
      </c>
      <c r="H9" s="2"/>
      <c r="I9" s="2"/>
    </row>
    <row r="10" spans="1:9">
      <c r="A10" s="2" t="s">
        <v>269</v>
      </c>
      <c r="B10" s="2" t="s">
        <v>259</v>
      </c>
      <c r="C10" s="2"/>
      <c r="D10" s="2"/>
      <c r="E10" s="3">
        <v>0</v>
      </c>
      <c r="F10" s="3">
        <v>0</v>
      </c>
      <c r="G10" s="2" t="s">
        <v>200</v>
      </c>
      <c r="H10" s="2"/>
      <c r="I10" s="2" t="s">
        <v>270</v>
      </c>
    </row>
    <row r="11" spans="1:9">
      <c r="A11" s="2" t="s">
        <v>271</v>
      </c>
      <c r="B11" s="2" t="s">
        <v>259</v>
      </c>
      <c r="C11" s="2"/>
      <c r="D11" s="2"/>
      <c r="E11" s="3">
        <v>0</v>
      </c>
      <c r="F11" s="3">
        <v>0</v>
      </c>
      <c r="G11" s="2" t="s">
        <v>185</v>
      </c>
      <c r="H11" s="2"/>
      <c r="I11" s="2"/>
    </row>
    <row r="12" spans="1:9">
      <c r="A12" s="2" t="s">
        <v>272</v>
      </c>
      <c r="B12" s="2" t="s">
        <v>259</v>
      </c>
      <c r="C12" s="2"/>
      <c r="D12" s="2"/>
      <c r="E12" s="3">
        <v>0</v>
      </c>
      <c r="F12" s="3">
        <v>0</v>
      </c>
      <c r="G12" s="2" t="s">
        <v>191</v>
      </c>
      <c r="H12" s="2"/>
      <c r="I12" s="2"/>
    </row>
    <row r="13" spans="1:9">
      <c r="A13" s="2" t="s">
        <v>273</v>
      </c>
      <c r="B13" s="2" t="s">
        <v>259</v>
      </c>
      <c r="C13" s="2"/>
      <c r="D13" s="2"/>
      <c r="E13" s="3">
        <v>0</v>
      </c>
      <c r="F13" s="3">
        <v>0</v>
      </c>
      <c r="G13" s="2" t="s">
        <v>180</v>
      </c>
      <c r="H13" s="2"/>
      <c r="I13" s="2"/>
    </row>
    <row r="14" spans="1:9">
      <c r="A14" s="2" t="s">
        <v>274</v>
      </c>
      <c r="B14" s="2" t="s">
        <v>259</v>
      </c>
      <c r="C14" s="2"/>
      <c r="D14" s="2"/>
      <c r="E14" s="3">
        <v>0</v>
      </c>
      <c r="F14" s="3">
        <v>0</v>
      </c>
      <c r="G14" s="2" t="s">
        <v>260</v>
      </c>
      <c r="H14" s="2"/>
      <c r="I14" s="2" t="s">
        <v>261</v>
      </c>
    </row>
    <row r="15" spans="1:9">
      <c r="A15" s="2" t="s">
        <v>275</v>
      </c>
      <c r="B15" s="2" t="s">
        <v>259</v>
      </c>
      <c r="C15" s="2"/>
      <c r="D15" s="2"/>
      <c r="E15" s="3">
        <v>0</v>
      </c>
      <c r="F15" s="3">
        <v>0</v>
      </c>
      <c r="G15" s="2" t="s">
        <v>185</v>
      </c>
      <c r="H15" s="2"/>
      <c r="I15" s="2"/>
    </row>
    <row r="16" spans="1:9">
      <c r="A16" s="2" t="s">
        <v>276</v>
      </c>
      <c r="B16" s="2" t="s">
        <v>259</v>
      </c>
      <c r="C16" s="2"/>
      <c r="D16" s="2"/>
      <c r="E16" s="3">
        <v>0</v>
      </c>
      <c r="F16" s="3">
        <v>0</v>
      </c>
      <c r="G16" s="2" t="s">
        <v>185</v>
      </c>
      <c r="H16" s="2"/>
      <c r="I16" s="2"/>
    </row>
    <row r="17" spans="1:9">
      <c r="A17" s="2" t="s">
        <v>277</v>
      </c>
      <c r="B17" s="2" t="s">
        <v>259</v>
      </c>
      <c r="C17" s="2"/>
      <c r="D17" s="2"/>
      <c r="E17" s="3">
        <v>0</v>
      </c>
      <c r="F17" s="3">
        <v>0</v>
      </c>
      <c r="G17" s="2" t="s">
        <v>191</v>
      </c>
      <c r="H17" s="2"/>
      <c r="I17" s="2"/>
    </row>
    <row r="18" spans="1:9">
      <c r="A18" s="2" t="s">
        <v>278</v>
      </c>
      <c r="B18" s="2" t="s">
        <v>259</v>
      </c>
      <c r="C18" s="2"/>
      <c r="D18" s="2"/>
      <c r="E18" s="3">
        <v>0</v>
      </c>
      <c r="F18" s="3">
        <v>0</v>
      </c>
      <c r="G18" s="2" t="s">
        <v>260</v>
      </c>
      <c r="H18" s="2"/>
      <c r="I18" s="2" t="s">
        <v>261</v>
      </c>
    </row>
    <row r="19" spans="1:9">
      <c r="A19" s="2" t="s">
        <v>279</v>
      </c>
      <c r="B19" s="2" t="s">
        <v>259</v>
      </c>
      <c r="C19" s="2"/>
      <c r="D19" s="2"/>
      <c r="E19" s="3">
        <v>0</v>
      </c>
      <c r="F19" s="3">
        <v>0</v>
      </c>
      <c r="G19" s="2" t="s">
        <v>260</v>
      </c>
      <c r="H19" s="2"/>
      <c r="I19" s="2" t="s">
        <v>261</v>
      </c>
    </row>
    <row r="20" spans="1:9">
      <c r="A20" s="2" t="s">
        <v>280</v>
      </c>
      <c r="B20" s="2" t="s">
        <v>259</v>
      </c>
      <c r="C20" s="2"/>
      <c r="D20" s="2"/>
      <c r="E20" s="3">
        <v>0</v>
      </c>
      <c r="F20" s="3">
        <v>0</v>
      </c>
      <c r="G20" s="2" t="s">
        <v>260</v>
      </c>
      <c r="H20" s="2"/>
      <c r="I20" s="2" t="s">
        <v>261</v>
      </c>
    </row>
    <row r="21" spans="1:9">
      <c r="A21" s="2" t="s">
        <v>281</v>
      </c>
      <c r="B21" s="2" t="s">
        <v>259</v>
      </c>
      <c r="C21" s="2"/>
      <c r="D21" s="2"/>
      <c r="E21" s="3">
        <v>0</v>
      </c>
      <c r="F21" s="3">
        <v>0</v>
      </c>
      <c r="G21" s="2" t="s">
        <v>282</v>
      </c>
      <c r="H21" s="2"/>
      <c r="I21" s="2" t="s">
        <v>283</v>
      </c>
    </row>
    <row r="22" spans="1:9">
      <c r="A22" s="2" t="s">
        <v>284</v>
      </c>
      <c r="B22" s="2" t="s">
        <v>259</v>
      </c>
      <c r="C22" s="2"/>
      <c r="D22" s="2"/>
      <c r="E22" s="3">
        <v>0</v>
      </c>
      <c r="F22" s="3">
        <v>0</v>
      </c>
      <c r="G22" s="2" t="s">
        <v>260</v>
      </c>
      <c r="H22" s="2"/>
      <c r="I22" s="2" t="s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285</v>
      </c>
      <c r="E1" s="1" t="s">
        <v>286</v>
      </c>
      <c r="F1" s="1" t="s">
        <v>287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288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288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288</v>
      </c>
    </row>
    <row r="5" spans="1:6">
      <c r="A5" s="2" t="s">
        <v>48</v>
      </c>
      <c r="B5" s="2" t="s">
        <v>51</v>
      </c>
      <c r="C5" s="2" t="s">
        <v>57</v>
      </c>
      <c r="D5" s="2" t="s">
        <v>26</v>
      </c>
      <c r="E5" s="2" t="s">
        <v>52</v>
      </c>
      <c r="F5" s="2" t="s">
        <v>288</v>
      </c>
    </row>
    <row r="6" spans="1:6">
      <c r="A6" s="2" t="s">
        <v>58</v>
      </c>
      <c r="B6" s="2" t="s">
        <v>61</v>
      </c>
      <c r="C6" s="2" t="s">
        <v>67</v>
      </c>
      <c r="D6" s="2" t="s">
        <v>26</v>
      </c>
      <c r="E6" s="2" t="s">
        <v>62</v>
      </c>
      <c r="F6" s="2" t="s">
        <v>288</v>
      </c>
    </row>
    <row r="7" spans="1:6">
      <c r="A7" s="2" t="s">
        <v>68</v>
      </c>
      <c r="B7" s="2" t="s">
        <v>70</v>
      </c>
      <c r="C7" s="2" t="s">
        <v>76</v>
      </c>
      <c r="D7" s="2" t="s">
        <v>26</v>
      </c>
      <c r="E7" s="2" t="s">
        <v>71</v>
      </c>
      <c r="F7" s="2" t="s">
        <v>288</v>
      </c>
    </row>
    <row r="8" spans="1:6">
      <c r="A8" s="2" t="s">
        <v>77</v>
      </c>
      <c r="B8" s="2" t="s">
        <v>79</v>
      </c>
      <c r="C8" s="2" t="s">
        <v>85</v>
      </c>
      <c r="D8" s="2" t="s">
        <v>26</v>
      </c>
      <c r="E8" s="2" t="s">
        <v>80</v>
      </c>
      <c r="F8" s="2" t="s">
        <v>288</v>
      </c>
    </row>
    <row r="9" spans="1:6">
      <c r="A9" s="2" t="s">
        <v>86</v>
      </c>
      <c r="B9" s="2" t="s">
        <v>88</v>
      </c>
      <c r="C9" s="2" t="s">
        <v>94</v>
      </c>
      <c r="D9" s="2" t="s">
        <v>26</v>
      </c>
      <c r="E9" s="2" t="s">
        <v>89</v>
      </c>
      <c r="F9" s="2" t="s">
        <v>288</v>
      </c>
    </row>
    <row r="10" spans="1:6">
      <c r="A10" s="2" t="s">
        <v>95</v>
      </c>
      <c r="B10" s="2" t="s">
        <v>98</v>
      </c>
      <c r="C10" s="2" t="s">
        <v>104</v>
      </c>
      <c r="D10" s="2" t="s">
        <v>26</v>
      </c>
      <c r="E10" s="2" t="s">
        <v>99</v>
      </c>
      <c r="F10" s="2" t="s">
        <v>288</v>
      </c>
    </row>
    <row r="11" spans="1:6">
      <c r="A11" s="2" t="s">
        <v>105</v>
      </c>
      <c r="B11" s="2" t="s">
        <v>107</v>
      </c>
      <c r="C11" s="2" t="s">
        <v>113</v>
      </c>
      <c r="D11" s="2" t="s">
        <v>26</v>
      </c>
      <c r="E11" s="2" t="s">
        <v>108</v>
      </c>
      <c r="F11" s="2" t="s">
        <v>288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289</v>
      </c>
      <c r="B1" s="5"/>
      <c r="C1" s="5"/>
      <c r="D1" s="5"/>
      <c r="E1" s="5"/>
      <c r="F1" s="5"/>
    </row>
    <row r="3" spans="1:6">
      <c r="A3" s="1" t="s">
        <v>290</v>
      </c>
      <c r="B3" s="1" t="s">
        <v>291</v>
      </c>
      <c r="C3" s="2"/>
      <c r="D3" s="1" t="s">
        <v>292</v>
      </c>
      <c r="E3" s="1" t="s">
        <v>291</v>
      </c>
      <c r="F3" s="1" t="s">
        <v>293</v>
      </c>
    </row>
    <row r="4" spans="1:6">
      <c r="A4" s="2" t="s">
        <v>259</v>
      </c>
      <c r="B4" s="2">
        <f>COUNTIF(Pipeline!J:J,"Contact Ready")</f>
        <v>0</v>
      </c>
      <c r="D4" s="2" t="s">
        <v>297</v>
      </c>
      <c r="E4" s="3">
        <f>SUM(Pipeline!R:R)</f>
        <v>0</v>
      </c>
      <c r="F4" s="2" t="s">
        <v>298</v>
      </c>
    </row>
    <row r="5" spans="1:6">
      <c r="A5" s="2" t="s">
        <v>27</v>
      </c>
      <c r="B5" s="2">
        <f>COUNTIF(Pipeline!J:J,"Contacted")</f>
        <v>0</v>
      </c>
      <c r="D5" s="2" t="s">
        <v>299</v>
      </c>
      <c r="E5" s="3">
        <f>SUM(Pipeline!K:K)</f>
        <v>0</v>
      </c>
      <c r="F5" s="2" t="s">
        <v>300</v>
      </c>
    </row>
    <row r="6" spans="1:6">
      <c r="A6" s="2" t="s">
        <v>294</v>
      </c>
      <c r="B6" s="2">
        <f>COUNTIF(Pipeline!J:J,"Replied")</f>
        <v>0</v>
      </c>
      <c r="D6" s="2" t="s">
        <v>301</v>
      </c>
      <c r="E6" s="3">
        <f>SUM(Pipeline!L:L)</f>
        <v>0</v>
      </c>
      <c r="F6" s="2" t="s">
        <v>302</v>
      </c>
    </row>
    <row r="7" spans="1:6">
      <c r="A7" s="2" t="s">
        <v>295</v>
      </c>
      <c r="B7" s="2">
        <f>COUNTIF(Pipeline!J:J,"Negotiating")</f>
        <v>0</v>
      </c>
      <c r="D7" s="2" t="s">
        <v>303</v>
      </c>
      <c r="E7" s="6">
        <f>IFERROR(COUNTIF(Pipeline!J:J,"Replied")/COUNTIF(Pipeline!D:D,"&lt;&gt;"),0)</f>
        <v>0</v>
      </c>
      <c r="F7" s="2" t="s">
        <v>304</v>
      </c>
    </row>
    <row r="8" spans="1:6">
      <c r="A8" s="2" t="s">
        <v>296</v>
      </c>
      <c r="B8" s="2">
        <f>COUNTIF(Pipeline!J:J,"Won/Paid")</f>
        <v>0</v>
      </c>
      <c r="D8" s="2" t="s">
        <v>305</v>
      </c>
      <c r="E8" s="6">
        <f>IFERROR(COUNTIF(Pipeline!J:J,"Won/Paid")/COUNTIF(Pipeline!D:D,"&lt;&gt;"),0)</f>
        <v>0</v>
      </c>
      <c r="F8" s="2" t="s">
        <v>306</v>
      </c>
    </row>
    <row r="9" spans="1:6">
      <c r="A9" s="2" t="s">
        <v>166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307</v>
      </c>
      <c r="B1" s="1" t="s">
        <v>308</v>
      </c>
    </row>
    <row r="2" spans="1:2">
      <c r="A2" s="2" t="s">
        <v>309</v>
      </c>
      <c r="B2" s="2" t="s">
        <v>310</v>
      </c>
    </row>
    <row r="3" spans="1:2">
      <c r="A3" s="2" t="s">
        <v>311</v>
      </c>
      <c r="B3" s="2" t="s">
        <v>312</v>
      </c>
    </row>
    <row r="4" spans="1:2">
      <c r="A4" s="2" t="s">
        <v>313</v>
      </c>
      <c r="B4" s="2" t="s">
        <v>314</v>
      </c>
    </row>
    <row r="5" spans="1:2">
      <c r="A5" s="2" t="s">
        <v>315</v>
      </c>
      <c r="B5" s="2" t="s">
        <v>316</v>
      </c>
    </row>
    <row r="6" spans="1:2">
      <c r="A6" s="2" t="s">
        <v>317</v>
      </c>
      <c r="B6" s="2" t="s">
        <v>318</v>
      </c>
    </row>
    <row r="7" spans="1:2">
      <c r="A7" s="2" t="s">
        <v>319</v>
      </c>
      <c r="B7" s="2" t="s">
        <v>320</v>
      </c>
    </row>
    <row r="8" spans="1:2">
      <c r="A8" s="2" t="s">
        <v>321</v>
      </c>
      <c r="B8" s="2" t="s">
        <v>322</v>
      </c>
    </row>
    <row r="9" spans="1:2">
      <c r="A9" s="2" t="s">
        <v>323</v>
      </c>
      <c r="B9" s="2" t="s">
        <v>324</v>
      </c>
    </row>
    <row r="10" spans="1:2">
      <c r="A10" s="2" t="s">
        <v>177</v>
      </c>
      <c r="B10" s="2" t="s">
        <v>325</v>
      </c>
    </row>
    <row r="11" spans="1:2">
      <c r="A11" s="2" t="s">
        <v>326</v>
      </c>
      <c r="B11" s="2" t="s">
        <v>327</v>
      </c>
    </row>
    <row r="12" spans="1:2">
      <c r="A12" s="2" t="s">
        <v>328</v>
      </c>
      <c r="B12" s="2" t="s">
        <v>329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330</v>
      </c>
      <c r="B1" s="1" t="s">
        <v>331</v>
      </c>
      <c r="C1" s="1" t="s">
        <v>332</v>
      </c>
      <c r="D1" s="1" t="s">
        <v>333</v>
      </c>
      <c r="E1" s="1" t="s">
        <v>334</v>
      </c>
    </row>
    <row r="2" spans="1:5">
      <c r="A2" s="2" t="s">
        <v>26</v>
      </c>
      <c r="B2" s="2">
        <v>10</v>
      </c>
      <c r="C2" s="2">
        <v>26</v>
      </c>
      <c r="D2" s="2">
        <v>21</v>
      </c>
      <c r="E2" s="2" t="s">
        <v>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2026-09-18T23:28:42Z</dcterms:created>
  <dcterms:modified xsi:type="dcterms:W3CDTF">2026-09-18T23:28:42Z</dcterms:modified>
</cp:coreProperties>
</file>