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New Lead Queue" sheetId="1" r:id="rId1"/>
    <sheet name="Scripts" sheetId="2" r:id="rId2"/>
    <sheet name="Pipeline" sheetId="3" r:id="rId3"/>
    <sheet name="Actual Outreach History" sheetId="4" r:id="rId4"/>
    <sheet name="Archived Leads" sheetId="5" r:id="rId5"/>
    <sheet name="Sources" sheetId="6" r:id="rId6"/>
    <sheet name="Dashboard" sheetId="7" r:id="rId7"/>
    <sheet name="Update Rules" sheetId="8" r:id="rId8"/>
    <sheet name="Refresh Log" sheetId="9" r:id="rId9"/>
  </sheets>
  <definedNames>
    <definedName name="_xlnm._FilterDatabase" localSheetId="0" hidden="1">'New Lead Queue'!$A$1:$O$11</definedName>
    <definedName name="_xlnm._FilterDatabase" localSheetId="2" hidden="1">Pipeline!$A$1:$R$35</definedName>
  </definedNames>
  <calcPr calcId="124519" fullCalcOnLoad="1"/>
</workbook>
</file>

<file path=xl/sharedStrings.xml><?xml version="1.0" encoding="utf-8"?>
<sst xmlns="http://schemas.openxmlformats.org/spreadsheetml/2006/main" count="777" uniqueCount="346">
  <si>
    <t>Rank</t>
  </si>
  <si>
    <t>Business</t>
  </si>
  <si>
    <t>Category</t>
  </si>
  <si>
    <t>City</t>
  </si>
  <si>
    <t>Tier</t>
  </si>
  <si>
    <t>Verified Opportunity</t>
  </si>
  <si>
    <t>Phone</t>
  </si>
  <si>
    <t>Email</t>
  </si>
  <si>
    <t>Reachability</t>
  </si>
  <si>
    <t>Angle</t>
  </si>
  <si>
    <t>Subject</t>
  </si>
  <si>
    <t>Individualized Initial Pitch</t>
  </si>
  <si>
    <t>Source URL</t>
  </si>
  <si>
    <t>Verified</t>
  </si>
  <si>
    <t>Status</t>
  </si>
  <si>
    <t>EDCO Heating &amp; Air</t>
  </si>
  <si>
    <t>HVAC / Heating / Air Conditioning</t>
  </si>
  <si>
    <t>San Jose / Bay Area, CA</t>
  </si>
  <si>
    <t>A</t>
  </si>
  <si>
    <t>Official contact page was crawled today and publishes a direct email, free consultation and estimate, Monday-Saturday hours, service across San Jose and surrounding Bay Area cities, and guaranteed-work positioning.</t>
  </si>
  <si>
    <t>edcoheating@gmail.com</t>
  </si>
  <si>
    <t>Direct email; open Monday-Saturday; free consultation and estimate</t>
  </si>
  <si>
    <t>Turn the free consultation plus broad Bay Area coverage into a system-replacement readiness campaign that helps homeowners organize comfort symptoms, system age and estimate questions before contacting EDCO.</t>
  </si>
  <si>
    <t>HVAC estimate-readiness campaign idea for EDCO</t>
  </si>
  <si>
    <t>Hi — I reviewed EDCO Heating &amp; Air’s current contact flow and noticed you already offer free consultations and estimates while serving San Jose and the surrounding Bay Area. I’d turn that into an HVAC estimate-readiness campaign that helps homeowners organize comfort symptoms, system age and replacement questions before reaching out. The $150 Same-Day Customer Growth Pack can include Google/social posts, FAQs, inquiry follow-ups and estimate-ready messaging built around your actual services. Want two EDCO-specific examples first?</t>
  </si>
  <si>
    <t>https://www.edcoheating.com/contact</t>
  </si>
  <si>
    <t>2026-09-19</t>
  </si>
  <si>
    <t>Contact Ready</t>
  </si>
  <si>
    <t>Engrave Concrete Design</t>
  </si>
  <si>
    <t>Decorative Concrete / Flooring / Remodeling</t>
  </si>
  <si>
    <t>Official site was crawled four days ago and publishes a direct email, Monday-Saturday hours, a free-estimate CTA, residential/commercial/industrial positioning, daily photo updates and an on-time guarantee.</t>
  </si>
  <si>
    <t>engraveconcretedesign@gmail.com</t>
  </si>
  <si>
    <t>Direct email; Monday-Saturday hours; free estimate</t>
  </si>
  <si>
    <t>Turn the residential/commercial/industrial range and visual nature of decorative concrete into a before-and-after project-selector campaign that routes prospects by surface and use case.</t>
  </si>
  <si>
    <t>Visual project-selector campaign for Engrave Concrete Design</t>
  </si>
  <si>
    <t>Hi — I reviewed Engrave Concrete Design’s current site and noticed you span residential, commercial and industrial decorative flooring while already emphasizing free estimates and daily project updates. I’d turn that visual work into a project-selector campaign that helps prospects identify the right surface, finish and use case before requesting an estimate. Same-Day Customer Growth Pack: $150 flat. Want two Engrave-specific examples first?</t>
  </si>
  <si>
    <t>https://engraveconcretedesign.com/</t>
  </si>
  <si>
    <t>Good Vibes Roofing and Siding Inc.</t>
  </si>
  <si>
    <t>Roofing / Siding</t>
  </si>
  <si>
    <t>San Jose, CA</t>
  </si>
  <si>
    <t>Official site was crawled last week and publishes a direct email, free-estimate CTA, San Jose roofing positioning and GAF Certified contractor status.</t>
  </si>
  <si>
    <t>cmclaudio0415@icloud.com</t>
  </si>
  <si>
    <t>Direct email; free estimate; San Jose</t>
  </si>
  <si>
    <t>Turn roofing-plus-siding capability into an exterior-condition campaign that helps homeowners distinguish roof-only problems from broader exterior work before requesting an estimate.</t>
  </si>
  <si>
    <t>Roof-or-siding project campaign idea for Good Vibes</t>
  </si>
  <si>
    <t>Hi — I reviewed Good Vibes Roofing and Siding’s current San Jose site and noticed you combine roofing and siding with a free-estimate path. I’d turn that into an exterior-condition campaign that helps homeowners distinguish roof-only concerns from projects that may involve siding too, with FAQs, estimate-prep posts and inquiry follow-ups. Same-Day Customer Growth Pack: $150 flat. Want two Good Vibes-specific examples first?</t>
  </si>
  <si>
    <t>https://goodvibesroofingandsidinginc.com/</t>
  </si>
  <si>
    <t>Sami &amp; Sons</t>
  </si>
  <si>
    <t>Custom Homes / ADUs / Remodeling</t>
  </si>
  <si>
    <t>San Jose / Peninsula / Bay Area, CA</t>
  </si>
  <si>
    <t>Official site currently says it is booking 2026 builds, offers free on-site estimates, uses a project intake that asks project type, timing and budget, and says quotes are usually returned within 24 hours.</t>
  </si>
  <si>
    <t>info@samiandsons.com</t>
  </si>
  <si>
    <t>Direct email; free on-site estimate; stated under-24-hour quote response</t>
  </si>
  <si>
    <t>Turn the existing project-type/timing/budget intake into a pre-qualification content funnel for custom homes, ADUs, additions and remodels.</t>
  </si>
  <si>
    <t>24-hour project-readiness campaign idea for Sami &amp; Sons</t>
  </si>
  <si>
    <t>Hi — I reviewed Sami &amp; Sons’ current project intake and noticed you already ask prospects about project type, timing and budget before a free on-site estimate, with quotes usually returned within 24 hours. I’d turn that into a project-readiness campaign that helps custom-home, ADU and remodeling prospects arrive better prepared before the consultation. Same-Day Customer Growth Pack: $150 flat. Want two Sami &amp; Sons-specific examples first?</t>
  </si>
  <si>
    <t>https://samiandsons.com/</t>
  </si>
  <si>
    <t>Carrillo Construction &amp; Remodeling LLC</t>
  </si>
  <si>
    <t>General Contracting / Remodeling / Additions</t>
  </si>
  <si>
    <t>Official San Jose page was crawled five days ago and offers free on-site written estimates, says a project lead can visit the same week, and advertises 5–15% off depending on project.</t>
  </si>
  <si>
    <t>contact@carrilloconstruction.com</t>
  </si>
  <si>
    <t>Direct email; free written estimate; same-week visit positioning</t>
  </si>
  <si>
    <t>Turn same-week visits plus written estimates into a scope-readiness campaign that prepares homeowners for additions, kitchens, baths and whole-home projects before the site visit.</t>
  </si>
  <si>
    <t>Same-week estimate campaign idea for Carrillo Construction</t>
  </si>
  <si>
    <t>Hi — I reviewed Carrillo Construction &amp; Remodeling’s current San Jose page and noticed you already offer free on-site written estimates and say a project lead can often visit the same week. I’d turn that speed and clarity into a scope-readiness campaign for additions and remodels, with planning posts, FAQs, inquiry follow-ups and estimate CTAs. Same-Day Customer Growth Pack: $150 flat. Want two Carrillo-specific examples first?</t>
  </si>
  <si>
    <t>https://carrilloconstructionandremodelingllc.com/locations/san-jose</t>
  </si>
  <si>
    <t>TrenchFree</t>
  </si>
  <si>
    <t>Trenchless Plumbing / Sewer / Water Main</t>
  </si>
  <si>
    <t>San Jose / Santa Clara County / San Mateo County, CA</t>
  </si>
  <si>
    <t>Official contact page was crawled four days ago and publishes a direct service email, free-quote CTA and project routing for water mains, sewer lines, electrical conduit and underground gas lines.</t>
  </si>
  <si>
    <t>service@trenchfree.com</t>
  </si>
  <si>
    <t>Direct service email; free quote; project-type routing</t>
  </si>
  <si>
    <t>Turn the four underground-line project types into a symptom-to-solution campaign that helps property owners identify which trenchless service they likely need before requesting a quote.</t>
  </si>
  <si>
    <t>Project-routing campaign idea for TrenchFree</t>
  </si>
  <si>
    <t>Hi — I reviewed TrenchFree’s current contact flow and noticed you already route prospects by water main, sewer, conduit and underground gas-line needs. I’d turn that into a symptom-to-solution campaign that helps property owners identify the right service and prepare useful project details before requesting a free quote. Same-Day Customer Growth Pack: $150 flat. Want two TrenchFree-specific examples first?</t>
  </si>
  <si>
    <t>https://trenchfree.com/contact-trenchfree/</t>
  </si>
  <si>
    <t>Americool Comfort</t>
  </si>
  <si>
    <t>HVAC / Heating / Cooling / Indoor Air Quality</t>
  </si>
  <si>
    <t>South San Jose / Santa Clara County / Bay Area, CA</t>
  </si>
  <si>
    <t>Official contact page was crawled two weeks ago and publishes a direct email, free-estimate offer, preferred-contact and appointment fields, urgent/not-urgent routing and 24/7 emergency-service positioning.</t>
  </si>
  <si>
    <t>contact@americool.us</t>
  </si>
  <si>
    <t>Direct email; free estimate; urgency routing; 24/7 emergency positioning</t>
  </si>
  <si>
    <t>Turn the existing urgent/not-urgent intake into a repair-versus-replacement triage campaign that gives homeowners a clearer path before booking service.</t>
  </si>
  <si>
    <t>HVAC triage campaign idea for Americool Comfort</t>
  </si>
  <si>
    <t>Hi — I reviewed Americool Comfort’s current contact flow and noticed you already distinguish urgent from non-urgent requests while offering free estimates and emergency service. I’d turn that into an HVAC triage campaign that helps homeowners sort repair, replacement and air-quality needs before they book. Same-Day Customer Growth Pack: $150 flat. Want two Americool-specific examples first?</t>
  </si>
  <si>
    <t>https://americool.us/contact-us/</t>
  </si>
  <si>
    <t>AC Concrete</t>
  </si>
  <si>
    <t>Concrete / Sidewalk Repair / Landscaping</t>
  </si>
  <si>
    <t>Official site was crawled last week and publishes a direct email, free-estimate CTA, financing availability, concrete and landscaping licensing, and service across San Jose and numerous Bay Area cities.</t>
  </si>
  <si>
    <t>info@acconcretesj.com</t>
  </si>
  <si>
    <t>Direct email; free estimate; financing available</t>
  </si>
  <si>
    <t>Turn concrete-plus-landscaping capability and financing into a property-improvement project selector that separates repair, replacement and broader outdoor upgrades.</t>
  </si>
  <si>
    <t>Concrete project-selector campaign for AC Concrete</t>
  </si>
  <si>
    <t>Hi — I reviewed AC Concrete’s current site and noticed you combine concrete construction, sidewalk repair and landscaping while offering free estimates and financing options. I’d turn that breadth into a project-selector campaign that helps property owners distinguish repair, replacement and larger outdoor upgrades before requesting an estimate. Same-Day Customer Growth Pack: $150 flat. Want two AC Concrete-specific examples first?</t>
  </si>
  <si>
    <t>https://acconcretesj.com/</t>
  </si>
  <si>
    <t>Stones Landscaping Inc.</t>
  </si>
  <si>
    <t>Landscaping / Concrete-Related Services</t>
  </si>
  <si>
    <t>Official contact page was crawled two days ago and publishes a direct email, free on-site consultation, detailed proposal within 48 hours of the site visit and financing availability for qualifying projects.</t>
  </si>
  <si>
    <t>stoneslandscapinginc1201@gmail.com</t>
  </si>
  <si>
    <t>Direct email; free consultation; proposal within 48 hours of site visit</t>
  </si>
  <si>
    <t>Turn the free consultation and 48-hour proposal process into a landscape-project prep campaign that gets scope, priorities and financing questions organized before the visit.</t>
  </si>
  <si>
    <t>48-hour proposal campaign idea for Stones Landscaping</t>
  </si>
  <si>
    <t>Hi — I reviewed Stones Landscaping’s current estimate process and noticed you already offer a free on-site consultation followed by a detailed proposal within 48 hours of the visit. I’d turn that into a project-prep campaign that helps homeowners organize scope, priorities and financing questions before you arrive. Same-Day Customer Growth Pack: $150 flat. Want two Stones-specific examples first?</t>
  </si>
  <si>
    <t>https://stoneslandscapinginc.com/contact/</t>
  </si>
  <si>
    <t>Water's Fault</t>
  </si>
  <si>
    <t>Water Damage Restoration</t>
  </si>
  <si>
    <t>South San Francisco / Peninsula / Bay Area, CA</t>
  </si>
  <si>
    <t>Official site was crawled today and publishes a direct email, Bay Area water-damage-restoration positioning, an online contact form and service coverage extending through the Peninsula toward San Jose.</t>
  </si>
  <si>
    <t>info@watersfault.com</t>
  </si>
  <si>
    <t>Direct email; online contact form; Bay Area restoration service</t>
  </si>
  <si>
    <t>Turn urgent water-damage uncertainty into a first-hour homeowner information campaign covering what to document, what not to disturb and what details to send before an assessment.</t>
  </si>
  <si>
    <t>First-hour water-damage campaign idea for Water's Fault</t>
  </si>
  <si>
    <t>Hi — I reviewed Water’s Fault’s current Bay Area contact flow and noticed you provide a direct email plus an online route for water-damage inquiries. I’d turn the urgency of those situations into a first-hour homeowner information campaign covering what to document, what details to send and how to prepare for an assessment. Same-Day Customer Growth Pack: $150 flat. Want two Water’s Fault-specific examples first?</t>
  </si>
  <si>
    <t>https://watersfault.com/</t>
  </si>
  <si>
    <t>Script ID</t>
  </si>
  <si>
    <t>Stage</t>
  </si>
  <si>
    <t>When to Use</t>
  </si>
  <si>
    <t>Copy</t>
  </si>
  <si>
    <t>S01</t>
  </si>
  <si>
    <t>Initial framework</t>
  </si>
  <si>
    <t>First contact</t>
  </si>
  <si>
    <t>Subject: 2 ideas for [BUSINESS]’s [VERIFIED OPPORTUNITY]
Hi — I was researching [CATEGORY] businesses and noticed [ONE VERIFIED FACT].
I think there’s a specific customer-growth opportunity around: “[BUSINESS-SPECIFIC ANGLE]”
I can turn that into ready-to-use Google/social posts, customer follow-ups, genuine review-request copy, FAQs, one promotional email and a 30-day use calendar.
Same-Day Customer Growth Pack: $150 flat, no subscription.
I already drafted two [BUSINESS]-specific examples. Want me to send them?</t>
  </si>
  <si>
    <t>S02</t>
  </si>
  <si>
    <t>Follow-up 1</t>
  </si>
  <si>
    <t>1–2 business days after no reply</t>
  </si>
  <si>
    <t>Hi — following up on the idea I sent for [BUSINESS]. If the full package isn’t useful yet, I can send the two business-specific samples first so you can judge the quality before deciding. No obligation.</t>
  </si>
  <si>
    <t>S03</t>
  </si>
  <si>
    <t>Follow-up 2</t>
  </si>
  <si>
    <t>Final cold follow-up</t>
  </si>
  <si>
    <t>Last note from me — I’ll close the loop unless you’d like the two [BUSINESS]-specific examples. If you’d rather not receive future outreach, just reply “no thanks” and I’ll suppress the contact.</t>
  </si>
  <si>
    <t>S04</t>
  </si>
  <si>
    <t>Yes / send samples</t>
  </si>
  <si>
    <t>Prospect asks to see examples</t>
  </si>
  <si>
    <t>Absolutely — here are the two samples. If the direction fits, I can complete the full Same-Day Customer Growth Pack: customized campaign angle, Google/social posts, FAQs, customer/estimate follow-ups, genuine review-request copy, one promotional email, CTA variants and a 30-day use calendar. Starter pack: $150 flat, no subscription.</t>
  </si>
  <si>
    <t>S05</t>
  </si>
  <si>
    <t>Price</t>
  </si>
  <si>
    <t>Prospect asks price</t>
  </si>
  <si>
    <t>The starter pack is $150 flat with no subscription. It includes the customized campaign angle, ready-to-publish posts, customer/estimate follow-ups, genuine review-request copy, FAQs, one promotional email, CTA variants and a 30-day use calendar. I don’t guarantee a specific number of leads or revenue; the deliverable is the completed business-specific marketing and follow-up system.</t>
  </si>
  <si>
    <t>S06</t>
  </si>
  <si>
    <t>Not now</t>
  </si>
  <si>
    <t>Prospect defers</t>
  </si>
  <si>
    <t>No problem. I’ll leave it here and won’t keep following up. If [VERIFIED OPPORTUNITY] becomes a priority later, you can reply to this thread and I can pick it back up.</t>
  </si>
  <si>
    <t>S07</t>
  </si>
  <si>
    <t>Already have marketing</t>
  </si>
  <si>
    <t>Existing agency/provider objection</t>
  </si>
  <si>
    <t>Makes sense. I’m not trying to replace your agency or existing marketing. This is a small fixed-scope pack built around one current offer/service opportunity — useful as an extra campaign, follow-up sequence, or customer-education asset. If that’s not useful, no problem and I’ll close the loop.</t>
  </si>
  <si>
    <t>S08</t>
  </si>
  <si>
    <t>Guarantee?</t>
  </si>
  <si>
    <t>Prospect asks for guaranteed results</t>
  </si>
  <si>
    <t>No — I don’t guarantee leads, rankings, bookings or revenue. What I can guarantee is the agreed deliverable: a completed, customized pack based on your approved facts and offer, with no fabricated testimonials or performance claims.</t>
  </si>
  <si>
    <t>S09</t>
  </si>
  <si>
    <t>Close</t>
  </si>
  <si>
    <t>Prospect is ready to buy</t>
  </si>
  <si>
    <t>Great — I’ll send the short intake first so I use only your approved service details, contact information and offer terms. Once payment is confirmed, I’ll complete the agreed pack and send the finished copy in one handoff.</t>
  </si>
  <si>
    <t>Lead</t>
  </si>
  <si>
    <t>Priority</t>
  </si>
  <si>
    <t>Channel</t>
  </si>
  <si>
    <t>First Touch</t>
  </si>
  <si>
    <t>FU1 Due</t>
  </si>
  <si>
    <t>FU1 Sent</t>
  </si>
  <si>
    <t>FU2 Due</t>
  </si>
  <si>
    <t>FU2 Sent</t>
  </si>
  <si>
    <t>Reply</t>
  </si>
  <si>
    <t>Quoted $</t>
  </si>
  <si>
    <t>Paid $</t>
  </si>
  <si>
    <t>Fulfilled</t>
  </si>
  <si>
    <t>Next Action</t>
  </si>
  <si>
    <t>Opt Out</t>
  </si>
  <si>
    <t>Last Verified</t>
  </si>
  <si>
    <t>Source</t>
  </si>
  <si>
    <t>Offer Value $</t>
  </si>
  <si>
    <t>FloodDry Water Damage Restoration</t>
  </si>
  <si>
    <t>Follow-up</t>
  </si>
  <si>
    <t>email</t>
  </si>
  <si>
    <t>2026-09-05T22:50:24-07:00</t>
  </si>
  <si>
    <t>2026-09-08</t>
  </si>
  <si>
    <t>2026-09-08T16:45:47-07:00</t>
  </si>
  <si>
    <t>Contacted</t>
  </si>
  <si>
    <t>Two verified outbound emails, no inbound reply found through 2026-09-12. Do not send another cold touch now.</t>
  </si>
  <si>
    <t>Therma Tech</t>
  </si>
  <si>
    <t>2026-09-05T20:01:38-07:00</t>
  </si>
  <si>
    <t>2026-09-07</t>
  </si>
  <si>
    <t>2026-09-07T13:35:02-07:00</t>
  </si>
  <si>
    <t>2026-09-07T14:19:35-07:00</t>
  </si>
  <si>
    <t>Three verified outbound emails across two connected Gmail accounts; no inbound reply found through 2026-09-12. Stop cold follow-up unless they reply.</t>
  </si>
  <si>
    <t>Dansel Restoration</t>
  </si>
  <si>
    <t>2026-09-05T22:49:58-07:00</t>
  </si>
  <si>
    <t>2026-09-09</t>
  </si>
  <si>
    <t>One verified outbound email; no inbound reply found through 2026-09-12. One final respectful follow-up is permissible, then stop unless they reply.</t>
  </si>
  <si>
    <t>California First Roofing</t>
  </si>
  <si>
    <t>2026-09-05T22:39:21-07:00</t>
  </si>
  <si>
    <t>US Creative Restoration</t>
  </si>
  <si>
    <t>2026-09-05T22:53:01-07:00</t>
  </si>
  <si>
    <t>One verified outbound email; no reply found through 2026-09-12. Eligible for at most one respectful follow-up.</t>
  </si>
  <si>
    <t>WJM Builders</t>
  </si>
  <si>
    <t>2026-09-06T03:30:53-07:00</t>
  </si>
  <si>
    <t>2026-09-10</t>
  </si>
  <si>
    <t>Clean Roofing</t>
  </si>
  <si>
    <t>2026-09-06T03:42:04-07:00</t>
  </si>
  <si>
    <t>Solar Energy Consultants</t>
  </si>
  <si>
    <t>2026-09-06T03:25:44-07:00</t>
  </si>
  <si>
    <t>Mayer's Construction</t>
  </si>
  <si>
    <t>2026-09-06T03:31:58-07:00</t>
  </si>
  <si>
    <t>EVS Mechanical</t>
  </si>
  <si>
    <t>2026-09-06T03:32:27-07:00</t>
  </si>
  <si>
    <t>Dueling Trowels Concrete Solutions</t>
  </si>
  <si>
    <t>2026-09-05T22:39:44-07:00</t>
  </si>
  <si>
    <t>2026-09-06T03:20:39-07:00</t>
  </si>
  <si>
    <t>Two verified outbound emails; no reply found through 2026-09-12. Do not send another cold touch now.</t>
  </si>
  <si>
    <t>GBD Concrete</t>
  </si>
  <si>
    <t>2026-09-05T22:54:30-07:00</t>
  </si>
  <si>
    <t>John Molina Concrete</t>
  </si>
  <si>
    <t>2026-09-05T22:46:13-07:00</t>
  </si>
  <si>
    <t>Precision Concrete Inc</t>
  </si>
  <si>
    <t>2026-09-05T22:40:53-07:00</t>
  </si>
  <si>
    <t>One Day Complete Repipe</t>
  </si>
  <si>
    <t>2026-09-05T22:35:59-07:00</t>
  </si>
  <si>
    <t>HB Design &amp; Construction</t>
  </si>
  <si>
    <t>2026-09-18T16:24:00-07:00</t>
  </si>
  <si>
    <t>2026-09-21</t>
  </si>
  <si>
    <t>Wait for reply. If no reply, eligible for respectful S02 follow-up on/after 2026-09-21; stop sooner on decline or opt-out.</t>
  </si>
  <si>
    <t>QualiBuild LLC</t>
  </si>
  <si>
    <t>Redwood Roofing</t>
  </si>
  <si>
    <t>Premier Roofing &amp; Retro-Fit</t>
  </si>
  <si>
    <t>Make It Simple Construction, Inc.</t>
  </si>
  <si>
    <t>BLUECON</t>
  </si>
  <si>
    <t>Blues Bros</t>
  </si>
  <si>
    <t>Home Quality Remodeling</t>
  </si>
  <si>
    <t>Imperia Roofing &amp; Exteriors</t>
  </si>
  <si>
    <t>First Touch Evidence</t>
  </si>
  <si>
    <t>FU1 Evidence</t>
  </si>
  <si>
    <t>FU2 Evidence</t>
  </si>
  <si>
    <t>Gmail sent message 1a074aa18c4a15e5</t>
  </si>
  <si>
    <t>Gmail sent message 1a07d94dc355abc7</t>
  </si>
  <si>
    <t>Gmail sent message 1a07dbda8027b039</t>
  </si>
  <si>
    <t>Gmail sent message 1a07537695be159d</t>
  </si>
  <si>
    <t>Gmail sent message 1a0753a7d53e5a5c</t>
  </si>
  <si>
    <t>Gmail sent message 1a0753ad793984cf</t>
  </si>
  <si>
    <t>Gmail sent message 1a0763c06f9e9dc5</t>
  </si>
  <si>
    <t>Gmail sent message 1a0753be59b49989</t>
  </si>
  <si>
    <t>Gmail sent message 1a07540c8b9fd4bc</t>
  </si>
  <si>
    <t>Gmail sent message 1a075443349aa830</t>
  </si>
  <si>
    <t>Gmail sent message 1a075449a2403271</t>
  </si>
  <si>
    <t>Gmail sent message 1a08369d9f6b09c0</t>
  </si>
  <si>
    <t>Gmail sent message 1a0754701539a56d</t>
  </si>
  <si>
    <t>Gmail sent message 1a075485ca2a3fef</t>
  </si>
  <si>
    <t>Precision Heating &amp; Cooling</t>
  </si>
  <si>
    <t>2026-09-06T01:37:52-07:00</t>
  </si>
  <si>
    <t>Gmail sent message 1a075ddee6716e8a</t>
  </si>
  <si>
    <t>Historical send discovered during Sep 12 audit; no reply found in connected Gmail search.</t>
  </si>
  <si>
    <t>Gmail sent message 1a07640ae5a69379</t>
  </si>
  <si>
    <t>Gmail sent message 1a076456505c6304</t>
  </si>
  <si>
    <t>Gmail sent message 1a0764664a2b1202</t>
  </si>
  <si>
    <t>Gmail sent message 1a07646d6dbd3474</t>
  </si>
  <si>
    <t>Gmail sent message 1a0764fa024df1f4</t>
  </si>
  <si>
    <t>Gmail sent message 1a0b6d78c843ca6b</t>
  </si>
  <si>
    <t>Gmail sent message 1a0b6d7943740cae</t>
  </si>
  <si>
    <t>Gmail sent message 1a0b6d79a6cdefdb</t>
  </si>
  <si>
    <t>Gmail sent message 1a0b6d7a193869fd</t>
  </si>
  <si>
    <t>Gmail sent message 1a0b6d7a978557f8</t>
  </si>
  <si>
    <t>Gmail sent message 1a0b6d7afc5b1de0</t>
  </si>
  <si>
    <t>Gmail sent message 1a0b6d7b4e0a0a3f</t>
  </si>
  <si>
    <t>Gmail sent message 1a0b6d7bd8a5e4c7</t>
  </si>
  <si>
    <t>Gmail sent message 1a0b6d7c520f4297</t>
  </si>
  <si>
    <t>Silicon Valley Chimney Sweep</t>
  </si>
  <si>
    <t>Gmail sent message 1a0b6d7d1bb96f3a</t>
  </si>
  <si>
    <t>Delivery Failed</t>
  </si>
  <si>
    <t>Do not count as successfully contacted. Official site still publishes info@svchimneysweep.com, but Gmail returned a hard bounce. Reverify or use the official website inquiry route; do not resend to the bounced address.</t>
  </si>
  <si>
    <t>Archived</t>
  </si>
  <si>
    <t>Leader Restoration</t>
  </si>
  <si>
    <t>2026-09-12</t>
  </si>
  <si>
    <t>Rotated out of fresh queue 2026-09-12; no outreach found in connected Gmail checks.</t>
  </si>
  <si>
    <t>CostLess Heating &amp; Cooling</t>
  </si>
  <si>
    <t>2026-09-06</t>
  </si>
  <si>
    <t>Los Gatos Roofing</t>
  </si>
  <si>
    <t>Roofs By Reveille, Inc</t>
  </si>
  <si>
    <t>A1 Restoration</t>
  </si>
  <si>
    <t>911 Restoration of San Jose</t>
  </si>
  <si>
    <t>Any Hour Water and Fire</t>
  </si>
  <si>
    <t>IRBIS Air Plumbing Electrical</t>
  </si>
  <si>
    <t>Use official web/phone route; no direct email re-verified 2026-09-09.</t>
  </si>
  <si>
    <t>California Water and Fire</t>
  </si>
  <si>
    <t>Infinium Solar, Roofing and Electric</t>
  </si>
  <si>
    <t>Lifetime Roofing &amp; Renovation, Inc.</t>
  </si>
  <si>
    <t>ROOF EXPRESS</t>
  </si>
  <si>
    <t>South Bay Roofing CO</t>
  </si>
  <si>
    <t>Eastman Roofing &amp; Waterproofing, Inc.</t>
  </si>
  <si>
    <t>The Roofer Bros</t>
  </si>
  <si>
    <t>Roof By Tom</t>
  </si>
  <si>
    <t>FairPrice Heating &amp; Cooling</t>
  </si>
  <si>
    <t>Galaxy Heating &amp; Air Conditioning</t>
  </si>
  <si>
    <t>Air &amp; Plumbing Systems</t>
  </si>
  <si>
    <t>2026-09-11</t>
  </si>
  <si>
    <t>Archived from active Top 10 on 2026-09-11; no outreach recorded.</t>
  </si>
  <si>
    <t>Top Tier Roofing</t>
  </si>
  <si>
    <t>Verified Date</t>
  </si>
  <si>
    <t>Direct Contact</t>
  </si>
  <si>
    <t>Reverify Rule</t>
  </si>
  <si>
    <t>Reverify time-sensitive offers, hours, financing, ETA, response-time claims, and contact details before outreach.</t>
  </si>
  <si>
    <t>SAME-DAY CUSTOMER GROWTH PACK — LIVE PIPELINE</t>
  </si>
  <si>
    <t>Metric</t>
  </si>
  <si>
    <t>Value</t>
  </si>
  <si>
    <t>Commercial Metric</t>
  </si>
  <si>
    <t>Meaning</t>
  </si>
  <si>
    <t>Replied</t>
  </si>
  <si>
    <t>Negotiating</t>
  </si>
  <si>
    <t>Won/Paid</t>
  </si>
  <si>
    <t>Nominal Offer Value</t>
  </si>
  <si>
    <t>Potential at the standard package price; not booked revenue.</t>
  </si>
  <si>
    <t>Actual Quoted $</t>
  </si>
  <si>
    <t>Only real negotiated/quoted dollars.</t>
  </si>
  <si>
    <t>Paid Revenue</t>
  </si>
  <si>
    <t>Only actual payments.</t>
  </si>
  <si>
    <t>Response Rate</t>
  </si>
  <si>
    <t>Replies divided by records with a real first touch.</t>
  </si>
  <si>
    <t>Close Rate</t>
  </si>
  <si>
    <t>Wins divided by records with a real first touch.</t>
  </si>
  <si>
    <t>Rule</t>
  </si>
  <si>
    <t>Requirement</t>
  </si>
  <si>
    <t>Canonical lead feed</t>
  </si>
  <si>
    <t>sales-engine-app/data/leads.json</t>
  </si>
  <si>
    <t>Canonical pipeline history</t>
  </si>
  <si>
    <t>sales-engine/pipeline-history.json</t>
  </si>
  <si>
    <t>Canonical workbook</t>
  </si>
  <si>
    <t>sales-engine/Same-Day-Customer-Growth-Pack-Live-CRM.xlsx</t>
  </si>
  <si>
    <t>Fresh means fresh</t>
  </si>
  <si>
    <t>Before a prospect enters New Lead Queue, verify it and check connected Gmail history for prior contact.</t>
  </si>
  <si>
    <t>Evidence</t>
  </si>
  <si>
    <t>Every current lead requires a current source URL and dated evidence-based opportunity.</t>
  </si>
  <si>
    <t>Contacts</t>
  </si>
  <si>
    <t>Never invent email, phone, person, role, offer, or contact detail.</t>
  </si>
  <si>
    <t>Pipeline truth</t>
  </si>
  <si>
    <t>Never mark contact, reply, quote, payment, customer, revenue, or fulfillment unless it actually occurred.</t>
  </si>
  <si>
    <t>Offer value</t>
  </si>
  <si>
    <t>The standard package price is potential value, not quoted pipeline or revenue.</t>
  </si>
  <si>
    <t>Initial cold contact + max two respectful cold follow-ups; stop sooner on decline/opt-out and avoid duplicate account touches.</t>
  </si>
  <si>
    <t>Claims</t>
  </si>
  <si>
    <t>No guaranteed leads, ROI, rankings, bookings, response rates, or revenue.</t>
  </si>
  <si>
    <t>Workbook generation</t>
  </si>
  <si>
    <t>GitHub Actions regenerates this XLSX from the live feed + truth-preserving pipeline history.</t>
  </si>
  <si>
    <t>Refresh Date</t>
  </si>
  <si>
    <t>Fresh Leads</t>
  </si>
  <si>
    <t>Observed Contact Records</t>
  </si>
  <si>
    <t>Archived Records</t>
  </si>
  <si>
    <t>Notes</t>
  </si>
  <si>
    <t>Generated from the verified lead feed and preserved pipeline history. Unobserved outcomes remain zero/blank.</t>
  </si>
</sst>
</file>

<file path=xl/styles.xml><?xml version="1.0" encoding="utf-8"?>
<styleSheet xmlns="http://schemas.openxmlformats.org/spreadsheetml/2006/main">
  <numFmts count="2">
    <numFmt numFmtId="164" formatCode="$#,##0"/>
    <numFmt numFmtId="165" formatCode="0.0%"/>
  </numFmts>
  <fonts count="3">
    <font>
      <sz val="11"/>
      <color theme="1"/>
      <name val="Calibri"/>
      <family val="2"/>
      <scheme val="minor"/>
    </font>
    <font>
      <b/>
      <sz val="11"/>
      <color rgb="FFFFFFFF"/>
      <name val="Calibri"/>
      <family val="2"/>
      <scheme val="minor"/>
    </font>
    <font>
      <b/>
      <sz val="16"/>
      <color rgb="FFFFFFFF"/>
      <name val="Calibri"/>
      <family val="2"/>
      <scheme val="minor"/>
    </font>
  </fonts>
  <fills count="5">
    <fill>
      <patternFill patternType="none"/>
    </fill>
    <fill>
      <patternFill patternType="gray125"/>
    </fill>
    <fill>
      <patternFill patternType="solid">
        <fgColor rgb="FF1F4E78"/>
        <bgColor indexed="64"/>
      </patternFill>
    </fill>
    <fill>
      <patternFill patternType="solid">
        <fgColor rgb="FF475569"/>
        <bgColor indexed="64"/>
      </patternFill>
    </fill>
    <fill>
      <patternFill patternType="solid">
        <fgColor rgb="FF111827"/>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7">
    <xf numFmtId="0" fontId="0" fillId="0" borderId="0" xfId="0"/>
    <xf numFmtId="0" fontId="1" fillId="2" borderId="1" xfId="0" applyFon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xf>
    <xf numFmtId="0" fontId="1" fillId="3" borderId="1" xfId="0" applyFont="1" applyFill="1" applyBorder="1" applyAlignment="1">
      <alignment wrapText="1"/>
    </xf>
    <xf numFmtId="0" fontId="2" fillId="4" borderId="0" xfId="0" applyFont="1" applyFill="1" applyAlignment="1">
      <alignment horizontal="center" vertical="center"/>
    </xf>
    <xf numFmtId="165" fontId="0" fillId="0" borderId="2" xfId="0" applyNumberFormat="1" applyBorder="1"/>
  </cellXfs>
  <cellStyles count="1">
    <cellStyle name="Normal" xfId="0" builtinId="0"/>
  </cellStyles>
  <dxfs count="2">
    <dxf>
      <font>
        <b/>
        <color rgb="FF166534"/>
      </font>
      <fill>
        <patternFill>
          <bgColor rgb="FFDCFCE7"/>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dcoheating.com/contact" TargetMode="External"/><Relationship Id="rId2" Type="http://schemas.openxmlformats.org/officeDocument/2006/relationships/hyperlink" Target="https://engraveconcretedesign.com/" TargetMode="External"/><Relationship Id="rId3" Type="http://schemas.openxmlformats.org/officeDocument/2006/relationships/hyperlink" Target="https://goodvibesroofingandsidinginc.com/" TargetMode="External"/><Relationship Id="rId4" Type="http://schemas.openxmlformats.org/officeDocument/2006/relationships/hyperlink" Target="https://samiandsons.com/" TargetMode="External"/><Relationship Id="rId5" Type="http://schemas.openxmlformats.org/officeDocument/2006/relationships/hyperlink" Target="https://carrilloconstructionandremodelingllc.com/locations/san-jose" TargetMode="External"/><Relationship Id="rId6" Type="http://schemas.openxmlformats.org/officeDocument/2006/relationships/hyperlink" Target="https://trenchfree.com/contact-trenchfree/" TargetMode="External"/><Relationship Id="rId7" Type="http://schemas.openxmlformats.org/officeDocument/2006/relationships/hyperlink" Target="https://americool.us/contact-us/" TargetMode="External"/><Relationship Id="rId8" Type="http://schemas.openxmlformats.org/officeDocument/2006/relationships/hyperlink" Target="https://acconcretesj.com/" TargetMode="External"/><Relationship Id="rId9" Type="http://schemas.openxmlformats.org/officeDocument/2006/relationships/hyperlink" Target="https://stoneslandscapinginc.com/contact/" TargetMode="External"/><Relationship Id="rId10" Type="http://schemas.openxmlformats.org/officeDocument/2006/relationships/hyperlink" Target="https://watersfault.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edcoheating.com/contact" TargetMode="External"/><Relationship Id="rId2" Type="http://schemas.openxmlformats.org/officeDocument/2006/relationships/hyperlink" Target="https://engraveconcretedesign.com/" TargetMode="External"/><Relationship Id="rId3" Type="http://schemas.openxmlformats.org/officeDocument/2006/relationships/hyperlink" Target="https://goodvibesroofingandsidinginc.com/" TargetMode="External"/><Relationship Id="rId4" Type="http://schemas.openxmlformats.org/officeDocument/2006/relationships/hyperlink" Target="https://samiandsons.com/" TargetMode="External"/><Relationship Id="rId5" Type="http://schemas.openxmlformats.org/officeDocument/2006/relationships/hyperlink" Target="https://carrilloconstructionandremodelingllc.com/locations/san-jose" TargetMode="External"/><Relationship Id="rId6" Type="http://schemas.openxmlformats.org/officeDocument/2006/relationships/hyperlink" Target="https://trenchfree.com/contact-trenchfree/" TargetMode="External"/><Relationship Id="rId7" Type="http://schemas.openxmlformats.org/officeDocument/2006/relationships/hyperlink" Target="https://americool.us/contact-us/" TargetMode="External"/><Relationship Id="rId8" Type="http://schemas.openxmlformats.org/officeDocument/2006/relationships/hyperlink" Target="https://acconcretesj.com/" TargetMode="External"/><Relationship Id="rId9" Type="http://schemas.openxmlformats.org/officeDocument/2006/relationships/hyperlink" Target="https://stoneslandscapinginc.com/contact/" TargetMode="External"/><Relationship Id="rId10" Type="http://schemas.openxmlformats.org/officeDocument/2006/relationships/hyperlink" Target="https://watersfault.com/"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www.edcoheating.com/contact" TargetMode="External"/><Relationship Id="rId2" Type="http://schemas.openxmlformats.org/officeDocument/2006/relationships/hyperlink" Target="https://engraveconcretedesign.com/" TargetMode="External"/><Relationship Id="rId3" Type="http://schemas.openxmlformats.org/officeDocument/2006/relationships/hyperlink" Target="https://goodvibesroofingandsidinginc.com/" TargetMode="External"/><Relationship Id="rId4" Type="http://schemas.openxmlformats.org/officeDocument/2006/relationships/hyperlink" Target="https://samiandsons.com/" TargetMode="External"/><Relationship Id="rId5" Type="http://schemas.openxmlformats.org/officeDocument/2006/relationships/hyperlink" Target="https://carrilloconstructionandremodelingllc.com/locations/san-jose" TargetMode="External"/><Relationship Id="rId6" Type="http://schemas.openxmlformats.org/officeDocument/2006/relationships/hyperlink" Target="https://trenchfree.com/contact-trenchfree/" TargetMode="External"/><Relationship Id="rId7" Type="http://schemas.openxmlformats.org/officeDocument/2006/relationships/hyperlink" Target="https://americool.us/contact-us/" TargetMode="External"/><Relationship Id="rId8" Type="http://schemas.openxmlformats.org/officeDocument/2006/relationships/hyperlink" Target="https://acconcretesj.com/" TargetMode="External"/><Relationship Id="rId9" Type="http://schemas.openxmlformats.org/officeDocument/2006/relationships/hyperlink" Target="https://stoneslandscapinginc.com/contact/" TargetMode="External"/><Relationship Id="rId10" Type="http://schemas.openxmlformats.org/officeDocument/2006/relationships/hyperlink" Target="https://watersfault.com/" TargetMode="External"/></Relationships>
</file>

<file path=xl/worksheets/sheet1.xml><?xml version="1.0" encoding="utf-8"?>
<worksheet xmlns="http://schemas.openxmlformats.org/spreadsheetml/2006/main" xmlns:r="http://schemas.openxmlformats.org/officeDocument/2006/relationships">
  <dimension ref="A1:O11"/>
  <sheetViews>
    <sheetView tabSelected="1" workbookViewId="0">
      <pane ySplit="1" topLeftCell="A2" activePane="bottomLeft" state="frozen"/>
      <selection pane="bottomLeft"/>
    </sheetView>
  </sheetViews>
  <sheetFormatPr defaultRowHeight="15"/>
  <cols>
    <col min="1" max="1" width="7.7109375" customWidth="1"/>
    <col min="2" max="2" width="32.7109375" customWidth="1"/>
    <col min="3" max="3" width="26.7109375" customWidth="1"/>
    <col min="4" max="4" width="22.7109375" customWidth="1"/>
    <col min="5" max="5" width="8.7109375" customWidth="1"/>
    <col min="6" max="6" width="54.7109375" customWidth="1"/>
    <col min="7" max="7" width="18.7109375" customWidth="1"/>
    <col min="8" max="8" width="34.7109375" customWidth="1"/>
    <col min="9" max="9" width="30.7109375" customWidth="1"/>
    <col min="10" max="10" width="48.7109375" customWidth="1"/>
    <col min="11" max="11" width="38.7109375" customWidth="1"/>
    <col min="12" max="12" width="72.7109375" customWidth="1"/>
    <col min="13" max="13" width="50.7109375" customWidth="1"/>
    <col min="14" max="14" width="14.7109375" customWidth="1"/>
    <col min="15" max="15" width="18.7109375" customWidth="1"/>
  </cols>
  <sheetData>
    <row r="1" spans="1:1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c r="A2" s="2">
        <v>1</v>
      </c>
      <c r="B2" s="2" t="s">
        <v>15</v>
      </c>
      <c r="C2" s="2" t="s">
        <v>16</v>
      </c>
      <c r="D2" s="2" t="s">
        <v>17</v>
      </c>
      <c r="E2" s="2" t="s">
        <v>18</v>
      </c>
      <c r="F2" s="2" t="s">
        <v>19</v>
      </c>
      <c r="G2" s="2"/>
      <c r="H2" s="2" t="s">
        <v>20</v>
      </c>
      <c r="I2" s="2" t="s">
        <v>21</v>
      </c>
      <c r="J2" s="2" t="s">
        <v>22</v>
      </c>
      <c r="K2" s="2" t="s">
        <v>23</v>
      </c>
      <c r="L2" s="2" t="s">
        <v>24</v>
      </c>
      <c r="M2" s="2" t="s">
        <v>25</v>
      </c>
      <c r="N2" s="2" t="s">
        <v>26</v>
      </c>
      <c r="O2" s="2" t="s">
        <v>27</v>
      </c>
    </row>
    <row r="3" spans="1:15">
      <c r="A3" s="2">
        <v>2</v>
      </c>
      <c r="B3" s="2" t="s">
        <v>28</v>
      </c>
      <c r="C3" s="2" t="s">
        <v>29</v>
      </c>
      <c r="D3" s="2" t="s">
        <v>17</v>
      </c>
      <c r="E3" s="2" t="s">
        <v>18</v>
      </c>
      <c r="F3" s="2" t="s">
        <v>30</v>
      </c>
      <c r="G3" s="2"/>
      <c r="H3" s="2" t="s">
        <v>31</v>
      </c>
      <c r="I3" s="2" t="s">
        <v>32</v>
      </c>
      <c r="J3" s="2" t="s">
        <v>33</v>
      </c>
      <c r="K3" s="2" t="s">
        <v>34</v>
      </c>
      <c r="L3" s="2" t="s">
        <v>35</v>
      </c>
      <c r="M3" s="2" t="s">
        <v>36</v>
      </c>
      <c r="N3" s="2" t="s">
        <v>26</v>
      </c>
      <c r="O3" s="2" t="s">
        <v>27</v>
      </c>
    </row>
    <row r="4" spans="1:15">
      <c r="A4" s="2">
        <v>3</v>
      </c>
      <c r="B4" s="2" t="s">
        <v>37</v>
      </c>
      <c r="C4" s="2" t="s">
        <v>38</v>
      </c>
      <c r="D4" s="2" t="s">
        <v>39</v>
      </c>
      <c r="E4" s="2" t="s">
        <v>18</v>
      </c>
      <c r="F4" s="2" t="s">
        <v>40</v>
      </c>
      <c r="G4" s="2"/>
      <c r="H4" s="2" t="s">
        <v>41</v>
      </c>
      <c r="I4" s="2" t="s">
        <v>42</v>
      </c>
      <c r="J4" s="2" t="s">
        <v>43</v>
      </c>
      <c r="K4" s="2" t="s">
        <v>44</v>
      </c>
      <c r="L4" s="2" t="s">
        <v>45</v>
      </c>
      <c r="M4" s="2" t="s">
        <v>46</v>
      </c>
      <c r="N4" s="2" t="s">
        <v>26</v>
      </c>
      <c r="O4" s="2" t="s">
        <v>27</v>
      </c>
    </row>
    <row r="5" spans="1:15">
      <c r="A5" s="2">
        <v>4</v>
      </c>
      <c r="B5" s="2" t="s">
        <v>47</v>
      </c>
      <c r="C5" s="2" t="s">
        <v>48</v>
      </c>
      <c r="D5" s="2" t="s">
        <v>49</v>
      </c>
      <c r="E5" s="2" t="s">
        <v>18</v>
      </c>
      <c r="F5" s="2" t="s">
        <v>50</v>
      </c>
      <c r="G5" s="2"/>
      <c r="H5" s="2" t="s">
        <v>51</v>
      </c>
      <c r="I5" s="2" t="s">
        <v>52</v>
      </c>
      <c r="J5" s="2" t="s">
        <v>53</v>
      </c>
      <c r="K5" s="2" t="s">
        <v>54</v>
      </c>
      <c r="L5" s="2" t="s">
        <v>55</v>
      </c>
      <c r="M5" s="2" t="s">
        <v>56</v>
      </c>
      <c r="N5" s="2" t="s">
        <v>26</v>
      </c>
      <c r="O5" s="2" t="s">
        <v>27</v>
      </c>
    </row>
    <row r="6" spans="1:15">
      <c r="A6" s="2">
        <v>5</v>
      </c>
      <c r="B6" s="2" t="s">
        <v>57</v>
      </c>
      <c r="C6" s="2" t="s">
        <v>58</v>
      </c>
      <c r="D6" s="2" t="s">
        <v>17</v>
      </c>
      <c r="E6" s="2" t="s">
        <v>18</v>
      </c>
      <c r="F6" s="2" t="s">
        <v>59</v>
      </c>
      <c r="G6" s="2"/>
      <c r="H6" s="2" t="s">
        <v>60</v>
      </c>
      <c r="I6" s="2" t="s">
        <v>61</v>
      </c>
      <c r="J6" s="2" t="s">
        <v>62</v>
      </c>
      <c r="K6" s="2" t="s">
        <v>63</v>
      </c>
      <c r="L6" s="2" t="s">
        <v>64</v>
      </c>
      <c r="M6" s="2" t="s">
        <v>65</v>
      </c>
      <c r="N6" s="2" t="s">
        <v>26</v>
      </c>
      <c r="O6" s="2" t="s">
        <v>27</v>
      </c>
    </row>
    <row r="7" spans="1:15">
      <c r="A7" s="2">
        <v>6</v>
      </c>
      <c r="B7" s="2" t="s">
        <v>66</v>
      </c>
      <c r="C7" s="2" t="s">
        <v>67</v>
      </c>
      <c r="D7" s="2" t="s">
        <v>68</v>
      </c>
      <c r="E7" s="2" t="s">
        <v>18</v>
      </c>
      <c r="F7" s="2" t="s">
        <v>69</v>
      </c>
      <c r="G7" s="2"/>
      <c r="H7" s="2" t="s">
        <v>70</v>
      </c>
      <c r="I7" s="2" t="s">
        <v>71</v>
      </c>
      <c r="J7" s="2" t="s">
        <v>72</v>
      </c>
      <c r="K7" s="2" t="s">
        <v>73</v>
      </c>
      <c r="L7" s="2" t="s">
        <v>74</v>
      </c>
      <c r="M7" s="2" t="s">
        <v>75</v>
      </c>
      <c r="N7" s="2" t="s">
        <v>26</v>
      </c>
      <c r="O7" s="2" t="s">
        <v>27</v>
      </c>
    </row>
    <row r="8" spans="1:15">
      <c r="A8" s="2">
        <v>7</v>
      </c>
      <c r="B8" s="2" t="s">
        <v>76</v>
      </c>
      <c r="C8" s="2" t="s">
        <v>77</v>
      </c>
      <c r="D8" s="2" t="s">
        <v>78</v>
      </c>
      <c r="E8" s="2" t="s">
        <v>18</v>
      </c>
      <c r="F8" s="2" t="s">
        <v>79</v>
      </c>
      <c r="G8" s="2"/>
      <c r="H8" s="2" t="s">
        <v>80</v>
      </c>
      <c r="I8" s="2" t="s">
        <v>81</v>
      </c>
      <c r="J8" s="2" t="s">
        <v>82</v>
      </c>
      <c r="K8" s="2" t="s">
        <v>83</v>
      </c>
      <c r="L8" s="2" t="s">
        <v>84</v>
      </c>
      <c r="M8" s="2" t="s">
        <v>85</v>
      </c>
      <c r="N8" s="2" t="s">
        <v>26</v>
      </c>
      <c r="O8" s="2" t="s">
        <v>27</v>
      </c>
    </row>
    <row r="9" spans="1:15">
      <c r="A9" s="2">
        <v>8</v>
      </c>
      <c r="B9" s="2" t="s">
        <v>86</v>
      </c>
      <c r="C9" s="2" t="s">
        <v>87</v>
      </c>
      <c r="D9" s="2" t="s">
        <v>17</v>
      </c>
      <c r="E9" s="2" t="s">
        <v>18</v>
      </c>
      <c r="F9" s="2" t="s">
        <v>88</v>
      </c>
      <c r="G9" s="2"/>
      <c r="H9" s="2" t="s">
        <v>89</v>
      </c>
      <c r="I9" s="2" t="s">
        <v>90</v>
      </c>
      <c r="J9" s="2" t="s">
        <v>91</v>
      </c>
      <c r="K9" s="2" t="s">
        <v>92</v>
      </c>
      <c r="L9" s="2" t="s">
        <v>93</v>
      </c>
      <c r="M9" s="2" t="s">
        <v>94</v>
      </c>
      <c r="N9" s="2" t="s">
        <v>26</v>
      </c>
      <c r="O9" s="2" t="s">
        <v>27</v>
      </c>
    </row>
    <row r="10" spans="1:15">
      <c r="A10" s="2">
        <v>9</v>
      </c>
      <c r="B10" s="2" t="s">
        <v>95</v>
      </c>
      <c r="C10" s="2" t="s">
        <v>96</v>
      </c>
      <c r="D10" s="2" t="s">
        <v>17</v>
      </c>
      <c r="E10" s="2" t="s">
        <v>18</v>
      </c>
      <c r="F10" s="2" t="s">
        <v>97</v>
      </c>
      <c r="G10" s="2"/>
      <c r="H10" s="2" t="s">
        <v>98</v>
      </c>
      <c r="I10" s="2" t="s">
        <v>99</v>
      </c>
      <c r="J10" s="2" t="s">
        <v>100</v>
      </c>
      <c r="K10" s="2" t="s">
        <v>101</v>
      </c>
      <c r="L10" s="2" t="s">
        <v>102</v>
      </c>
      <c r="M10" s="2" t="s">
        <v>103</v>
      </c>
      <c r="N10" s="2" t="s">
        <v>26</v>
      </c>
      <c r="O10" s="2" t="s">
        <v>27</v>
      </c>
    </row>
    <row r="11" spans="1:15">
      <c r="A11" s="2">
        <v>10</v>
      </c>
      <c r="B11" s="2" t="s">
        <v>104</v>
      </c>
      <c r="C11" s="2" t="s">
        <v>105</v>
      </c>
      <c r="D11" s="2" t="s">
        <v>106</v>
      </c>
      <c r="E11" s="2" t="s">
        <v>18</v>
      </c>
      <c r="F11" s="2" t="s">
        <v>107</v>
      </c>
      <c r="G11" s="2"/>
      <c r="H11" s="2" t="s">
        <v>108</v>
      </c>
      <c r="I11" s="2" t="s">
        <v>109</v>
      </c>
      <c r="J11" s="2" t="s">
        <v>110</v>
      </c>
      <c r="K11" s="2" t="s">
        <v>111</v>
      </c>
      <c r="L11" s="2" t="s">
        <v>112</v>
      </c>
      <c r="M11" s="2" t="s">
        <v>113</v>
      </c>
      <c r="N11" s="2" t="s">
        <v>26</v>
      </c>
      <c r="O11" s="2" t="s">
        <v>27</v>
      </c>
    </row>
  </sheetData>
  <autoFilter ref="A1:O11"/>
  <conditionalFormatting sqref="E2:E11">
    <cfRule type="containsText" dxfId="0" priority="1" operator="containsText" text="A">
      <formula>NOT(ISERROR(SEARCH("A",E2)))</formula>
    </cfRule>
  </conditionalFormatting>
  <hyperlinks>
    <hyperlink ref="M2" r:id="rId1"/>
    <hyperlink ref="M3" r:id="rId2"/>
    <hyperlink ref="M4" r:id="rId3"/>
    <hyperlink ref="M5" r:id="rId4"/>
    <hyperlink ref="M6" r:id="rId5"/>
    <hyperlink ref="M7" r:id="rId6"/>
    <hyperlink ref="M8" r:id="rId7"/>
    <hyperlink ref="M9" r:id="rId8"/>
    <hyperlink ref="M10" r:id="rId9"/>
    <hyperlink ref="M11" r:id="rId10"/>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10"/>
  <sheetViews>
    <sheetView workbookViewId="0">
      <pane ySplit="1" topLeftCell="A2" activePane="bottomLeft" state="frozen"/>
      <selection pane="bottomLeft"/>
    </sheetView>
  </sheetViews>
  <sheetFormatPr defaultRowHeight="15"/>
  <cols>
    <col min="1" max="1" width="12.7109375" customWidth="1"/>
    <col min="2" max="2" width="24.7109375" customWidth="1"/>
    <col min="3" max="3" width="34.7109375" customWidth="1"/>
    <col min="4" max="4" width="92.7109375" customWidth="1"/>
  </cols>
  <sheetData>
    <row r="1" spans="1:4">
      <c r="A1" s="1" t="s">
        <v>114</v>
      </c>
      <c r="B1" s="1" t="s">
        <v>115</v>
      </c>
      <c r="C1" s="1" t="s">
        <v>116</v>
      </c>
      <c r="D1" s="1" t="s">
        <v>117</v>
      </c>
    </row>
    <row r="2" spans="1:4">
      <c r="A2" s="2" t="s">
        <v>118</v>
      </c>
      <c r="B2" s="2" t="s">
        <v>119</v>
      </c>
      <c r="C2" s="2" t="s">
        <v>120</v>
      </c>
      <c r="D2" s="2" t="s">
        <v>121</v>
      </c>
    </row>
    <row r="3" spans="1:4">
      <c r="A3" s="2" t="s">
        <v>122</v>
      </c>
      <c r="B3" s="2" t="s">
        <v>123</v>
      </c>
      <c r="C3" s="2" t="s">
        <v>124</v>
      </c>
      <c r="D3" s="2" t="s">
        <v>125</v>
      </c>
    </row>
    <row r="4" spans="1:4">
      <c r="A4" s="2" t="s">
        <v>126</v>
      </c>
      <c r="B4" s="2" t="s">
        <v>127</v>
      </c>
      <c r="C4" s="2" t="s">
        <v>128</v>
      </c>
      <c r="D4" s="2" t="s">
        <v>129</v>
      </c>
    </row>
    <row r="5" spans="1:4">
      <c r="A5" s="2" t="s">
        <v>130</v>
      </c>
      <c r="B5" s="2" t="s">
        <v>131</v>
      </c>
      <c r="C5" s="2" t="s">
        <v>132</v>
      </c>
      <c r="D5" s="2" t="s">
        <v>133</v>
      </c>
    </row>
    <row r="6" spans="1:4">
      <c r="A6" s="2" t="s">
        <v>134</v>
      </c>
      <c r="B6" s="2" t="s">
        <v>135</v>
      </c>
      <c r="C6" s="2" t="s">
        <v>136</v>
      </c>
      <c r="D6" s="2" t="s">
        <v>137</v>
      </c>
    </row>
    <row r="7" spans="1:4">
      <c r="A7" s="2" t="s">
        <v>138</v>
      </c>
      <c r="B7" s="2" t="s">
        <v>139</v>
      </c>
      <c r="C7" s="2" t="s">
        <v>140</v>
      </c>
      <c r="D7" s="2" t="s">
        <v>141</v>
      </c>
    </row>
    <row r="8" spans="1:4">
      <c r="A8" s="2" t="s">
        <v>142</v>
      </c>
      <c r="B8" s="2" t="s">
        <v>143</v>
      </c>
      <c r="C8" s="2" t="s">
        <v>144</v>
      </c>
      <c r="D8" s="2" t="s">
        <v>145</v>
      </c>
    </row>
    <row r="9" spans="1:4">
      <c r="A9" s="2" t="s">
        <v>146</v>
      </c>
      <c r="B9" s="2" t="s">
        <v>147</v>
      </c>
      <c r="C9" s="2" t="s">
        <v>148</v>
      </c>
      <c r="D9" s="2" t="s">
        <v>149</v>
      </c>
    </row>
    <row r="10" spans="1:4">
      <c r="A10" s="2" t="s">
        <v>150</v>
      </c>
      <c r="B10" s="2" t="s">
        <v>151</v>
      </c>
      <c r="C10" s="2" t="s">
        <v>152</v>
      </c>
      <c r="D10" s="2" t="s">
        <v>153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R35"/>
  <sheetViews>
    <sheetView workbookViewId="0">
      <pane ySplit="1" topLeftCell="A2" activePane="bottomLeft" state="frozen"/>
      <selection pane="bottomLeft"/>
    </sheetView>
  </sheetViews>
  <sheetFormatPr defaultRowHeight="15"/>
  <cols>
    <col min="1" max="1" width="32.7109375" customWidth="1"/>
    <col min="2" max="2" width="10.7109375" customWidth="1"/>
    <col min="3" max="3" width="34.7109375" customWidth="1"/>
    <col min="4" max="4" width="24.7109375" customWidth="1"/>
    <col min="5" max="5" width="14.7109375" customWidth="1"/>
    <col min="6" max="6" width="24.7109375" customWidth="1"/>
    <col min="7" max="7" width="14.7109375" customWidth="1"/>
    <col min="8" max="8" width="24.7109375" customWidth="1"/>
    <col min="9" max="9" width="38.7109375" customWidth="1"/>
    <col min="10" max="10" width="18.7109375" customWidth="1"/>
    <col min="11" max="12" width="12.7109375" customWidth="1"/>
    <col min="13" max="13" width="14.7109375" customWidth="1"/>
    <col min="14" max="14" width="58.7109375" customWidth="1"/>
    <col min="15" max="15" width="12.7109375" customWidth="1"/>
    <col min="16" max="16" width="14.7109375" customWidth="1"/>
    <col min="17" max="17" width="50.7109375" customWidth="1"/>
    <col min="18" max="18" width="14.7109375" customWidth="1"/>
  </cols>
  <sheetData>
    <row r="1" spans="1:18">
      <c r="A1" s="1" t="s">
        <v>154</v>
      </c>
      <c r="B1" s="1" t="s">
        <v>155</v>
      </c>
      <c r="C1" s="1" t="s">
        <v>156</v>
      </c>
      <c r="D1" s="1" t="s">
        <v>157</v>
      </c>
      <c r="E1" s="1" t="s">
        <v>158</v>
      </c>
      <c r="F1" s="1" t="s">
        <v>159</v>
      </c>
      <c r="G1" s="1" t="s">
        <v>160</v>
      </c>
      <c r="H1" s="1" t="s">
        <v>161</v>
      </c>
      <c r="I1" s="1" t="s">
        <v>162</v>
      </c>
      <c r="J1" s="1" t="s">
        <v>115</v>
      </c>
      <c r="K1" s="1" t="s">
        <v>163</v>
      </c>
      <c r="L1" s="1" t="s">
        <v>164</v>
      </c>
      <c r="M1" s="1" t="s">
        <v>165</v>
      </c>
      <c r="N1" s="1" t="s">
        <v>166</v>
      </c>
      <c r="O1" s="1" t="s">
        <v>167</v>
      </c>
      <c r="P1" s="1" t="s">
        <v>168</v>
      </c>
      <c r="Q1" s="1" t="s">
        <v>169</v>
      </c>
      <c r="R1" s="1" t="s">
        <v>170</v>
      </c>
    </row>
    <row r="2" spans="1:18">
      <c r="A2" s="2" t="s">
        <v>15</v>
      </c>
      <c r="B2" s="2">
        <v>1</v>
      </c>
      <c r="C2" s="2" t="s">
        <v>20</v>
      </c>
      <c r="D2" s="2"/>
      <c r="E2" s="2"/>
      <c r="F2" s="2"/>
      <c r="G2" s="2"/>
      <c r="H2" s="2"/>
      <c r="I2" s="2"/>
      <c r="J2" s="2" t="s">
        <v>27</v>
      </c>
      <c r="K2" s="3">
        <v>0</v>
      </c>
      <c r="L2" s="3">
        <v>0</v>
      </c>
      <c r="M2" s="2"/>
      <c r="N2" s="2"/>
      <c r="O2" s="2"/>
      <c r="P2" s="2" t="s">
        <v>26</v>
      </c>
      <c r="Q2" s="2" t="s">
        <v>25</v>
      </c>
      <c r="R2" s="3">
        <v>150</v>
      </c>
    </row>
    <row r="3" spans="1:18">
      <c r="A3" s="2" t="s">
        <v>28</v>
      </c>
      <c r="B3" s="2">
        <v>2</v>
      </c>
      <c r="C3" s="2" t="s">
        <v>31</v>
      </c>
      <c r="D3" s="2"/>
      <c r="E3" s="2"/>
      <c r="F3" s="2"/>
      <c r="G3" s="2"/>
      <c r="H3" s="2"/>
      <c r="I3" s="2"/>
      <c r="J3" s="2" t="s">
        <v>27</v>
      </c>
      <c r="K3" s="3">
        <v>0</v>
      </c>
      <c r="L3" s="3">
        <v>0</v>
      </c>
      <c r="M3" s="2"/>
      <c r="N3" s="2"/>
      <c r="O3" s="2"/>
      <c r="P3" s="2" t="s">
        <v>26</v>
      </c>
      <c r="Q3" s="2" t="s">
        <v>36</v>
      </c>
      <c r="R3" s="3">
        <v>150</v>
      </c>
    </row>
    <row r="4" spans="1:18">
      <c r="A4" s="2" t="s">
        <v>37</v>
      </c>
      <c r="B4" s="2">
        <v>3</v>
      </c>
      <c r="C4" s="2" t="s">
        <v>41</v>
      </c>
      <c r="D4" s="2"/>
      <c r="E4" s="2"/>
      <c r="F4" s="2"/>
      <c r="G4" s="2"/>
      <c r="H4" s="2"/>
      <c r="I4" s="2"/>
      <c r="J4" s="2" t="s">
        <v>27</v>
      </c>
      <c r="K4" s="3">
        <v>0</v>
      </c>
      <c r="L4" s="3">
        <v>0</v>
      </c>
      <c r="M4" s="2"/>
      <c r="N4" s="2"/>
      <c r="O4" s="2"/>
      <c r="P4" s="2" t="s">
        <v>26</v>
      </c>
      <c r="Q4" s="2" t="s">
        <v>46</v>
      </c>
      <c r="R4" s="3">
        <v>150</v>
      </c>
    </row>
    <row r="5" spans="1:18">
      <c r="A5" s="2" t="s">
        <v>47</v>
      </c>
      <c r="B5" s="2">
        <v>4</v>
      </c>
      <c r="C5" s="2" t="s">
        <v>51</v>
      </c>
      <c r="D5" s="2"/>
      <c r="E5" s="2"/>
      <c r="F5" s="2"/>
      <c r="G5" s="2"/>
      <c r="H5" s="2"/>
      <c r="I5" s="2"/>
      <c r="J5" s="2" t="s">
        <v>27</v>
      </c>
      <c r="K5" s="3">
        <v>0</v>
      </c>
      <c r="L5" s="3">
        <v>0</v>
      </c>
      <c r="M5" s="2"/>
      <c r="N5" s="2"/>
      <c r="O5" s="2"/>
      <c r="P5" s="2" t="s">
        <v>26</v>
      </c>
      <c r="Q5" s="2" t="s">
        <v>56</v>
      </c>
      <c r="R5" s="3">
        <v>150</v>
      </c>
    </row>
    <row r="6" spans="1:18">
      <c r="A6" s="2" t="s">
        <v>57</v>
      </c>
      <c r="B6" s="2">
        <v>5</v>
      </c>
      <c r="C6" s="2" t="s">
        <v>60</v>
      </c>
      <c r="D6" s="2"/>
      <c r="E6" s="2"/>
      <c r="F6" s="2"/>
      <c r="G6" s="2"/>
      <c r="H6" s="2"/>
      <c r="I6" s="2"/>
      <c r="J6" s="2" t="s">
        <v>27</v>
      </c>
      <c r="K6" s="3">
        <v>0</v>
      </c>
      <c r="L6" s="3">
        <v>0</v>
      </c>
      <c r="M6" s="2"/>
      <c r="N6" s="2"/>
      <c r="O6" s="2"/>
      <c r="P6" s="2" t="s">
        <v>26</v>
      </c>
      <c r="Q6" s="2" t="s">
        <v>65</v>
      </c>
      <c r="R6" s="3">
        <v>150</v>
      </c>
    </row>
    <row r="7" spans="1:18">
      <c r="A7" s="2" t="s">
        <v>66</v>
      </c>
      <c r="B7" s="2">
        <v>6</v>
      </c>
      <c r="C7" s="2" t="s">
        <v>70</v>
      </c>
      <c r="D7" s="2"/>
      <c r="E7" s="2"/>
      <c r="F7" s="2"/>
      <c r="G7" s="2"/>
      <c r="H7" s="2"/>
      <c r="I7" s="2"/>
      <c r="J7" s="2" t="s">
        <v>27</v>
      </c>
      <c r="K7" s="3">
        <v>0</v>
      </c>
      <c r="L7" s="3">
        <v>0</v>
      </c>
      <c r="M7" s="2"/>
      <c r="N7" s="2"/>
      <c r="O7" s="2"/>
      <c r="P7" s="2" t="s">
        <v>26</v>
      </c>
      <c r="Q7" s="2" t="s">
        <v>75</v>
      </c>
      <c r="R7" s="3">
        <v>150</v>
      </c>
    </row>
    <row r="8" spans="1:18">
      <c r="A8" s="2" t="s">
        <v>76</v>
      </c>
      <c r="B8" s="2">
        <v>7</v>
      </c>
      <c r="C8" s="2" t="s">
        <v>80</v>
      </c>
      <c r="D8" s="2"/>
      <c r="E8" s="2"/>
      <c r="F8" s="2"/>
      <c r="G8" s="2"/>
      <c r="H8" s="2"/>
      <c r="I8" s="2"/>
      <c r="J8" s="2" t="s">
        <v>27</v>
      </c>
      <c r="K8" s="3">
        <v>0</v>
      </c>
      <c r="L8" s="3">
        <v>0</v>
      </c>
      <c r="M8" s="2"/>
      <c r="N8" s="2"/>
      <c r="O8" s="2"/>
      <c r="P8" s="2" t="s">
        <v>26</v>
      </c>
      <c r="Q8" s="2" t="s">
        <v>85</v>
      </c>
      <c r="R8" s="3">
        <v>150</v>
      </c>
    </row>
    <row r="9" spans="1:18">
      <c r="A9" s="2" t="s">
        <v>86</v>
      </c>
      <c r="B9" s="2">
        <v>8</v>
      </c>
      <c r="C9" s="2" t="s">
        <v>89</v>
      </c>
      <c r="D9" s="2"/>
      <c r="E9" s="2"/>
      <c r="F9" s="2"/>
      <c r="G9" s="2"/>
      <c r="H9" s="2"/>
      <c r="I9" s="2"/>
      <c r="J9" s="2" t="s">
        <v>27</v>
      </c>
      <c r="K9" s="3">
        <v>0</v>
      </c>
      <c r="L9" s="3">
        <v>0</v>
      </c>
      <c r="M9" s="2"/>
      <c r="N9" s="2"/>
      <c r="O9" s="2"/>
      <c r="P9" s="2" t="s">
        <v>26</v>
      </c>
      <c r="Q9" s="2" t="s">
        <v>94</v>
      </c>
      <c r="R9" s="3">
        <v>150</v>
      </c>
    </row>
    <row r="10" spans="1:18">
      <c r="A10" s="2" t="s">
        <v>95</v>
      </c>
      <c r="B10" s="2">
        <v>9</v>
      </c>
      <c r="C10" s="2" t="s">
        <v>98</v>
      </c>
      <c r="D10" s="2"/>
      <c r="E10" s="2"/>
      <c r="F10" s="2"/>
      <c r="G10" s="2"/>
      <c r="H10" s="2"/>
      <c r="I10" s="2"/>
      <c r="J10" s="2" t="s">
        <v>27</v>
      </c>
      <c r="K10" s="3">
        <v>0</v>
      </c>
      <c r="L10" s="3">
        <v>0</v>
      </c>
      <c r="M10" s="2"/>
      <c r="N10" s="2"/>
      <c r="O10" s="2"/>
      <c r="P10" s="2" t="s">
        <v>26</v>
      </c>
      <c r="Q10" s="2" t="s">
        <v>103</v>
      </c>
      <c r="R10" s="3">
        <v>150</v>
      </c>
    </row>
    <row r="11" spans="1:18">
      <c r="A11" s="2" t="s">
        <v>104</v>
      </c>
      <c r="B11" s="2">
        <v>10</v>
      </c>
      <c r="C11" s="2" t="s">
        <v>108</v>
      </c>
      <c r="D11" s="2"/>
      <c r="E11" s="2"/>
      <c r="F11" s="2"/>
      <c r="G11" s="2"/>
      <c r="H11" s="2"/>
      <c r="I11" s="2"/>
      <c r="J11" s="2" t="s">
        <v>27</v>
      </c>
      <c r="K11" s="3">
        <v>0</v>
      </c>
      <c r="L11" s="3">
        <v>0</v>
      </c>
      <c r="M11" s="2"/>
      <c r="N11" s="2"/>
      <c r="O11" s="2"/>
      <c r="P11" s="2" t="s">
        <v>26</v>
      </c>
      <c r="Q11" s="2" t="s">
        <v>113</v>
      </c>
      <c r="R11" s="3">
        <v>150</v>
      </c>
    </row>
    <row r="12" spans="1:18">
      <c r="A12" s="2" t="s">
        <v>171</v>
      </c>
      <c r="B12" s="2" t="s">
        <v>172</v>
      </c>
      <c r="C12" s="2" t="s">
        <v>173</v>
      </c>
      <c r="D12" s="2" t="s">
        <v>174</v>
      </c>
      <c r="E12" s="2" t="s">
        <v>175</v>
      </c>
      <c r="F12" s="2" t="s">
        <v>176</v>
      </c>
      <c r="G12" s="2"/>
      <c r="H12" s="2"/>
      <c r="I12" s="2"/>
      <c r="J12" s="2" t="s">
        <v>177</v>
      </c>
      <c r="K12" s="3">
        <v>0</v>
      </c>
      <c r="L12" s="3">
        <v>0</v>
      </c>
      <c r="M12" s="2"/>
      <c r="N12" s="2" t="s">
        <v>178</v>
      </c>
      <c r="O12" s="2"/>
      <c r="P12" s="2"/>
      <c r="Q12" s="2"/>
      <c r="R12" s="3">
        <v>150</v>
      </c>
    </row>
    <row r="13" spans="1:18">
      <c r="A13" s="2" t="s">
        <v>179</v>
      </c>
      <c r="B13" s="2" t="s">
        <v>172</v>
      </c>
      <c r="C13" s="2" t="s">
        <v>173</v>
      </c>
      <c r="D13" s="2" t="s">
        <v>180</v>
      </c>
      <c r="E13" s="2" t="s">
        <v>181</v>
      </c>
      <c r="F13" s="2" t="s">
        <v>182</v>
      </c>
      <c r="G13" s="2" t="s">
        <v>181</v>
      </c>
      <c r="H13" s="2" t="s">
        <v>183</v>
      </c>
      <c r="I13" s="2"/>
      <c r="J13" s="2" t="s">
        <v>177</v>
      </c>
      <c r="K13" s="3">
        <v>0</v>
      </c>
      <c r="L13" s="3">
        <v>0</v>
      </c>
      <c r="M13" s="2"/>
      <c r="N13" s="2" t="s">
        <v>184</v>
      </c>
      <c r="O13" s="2"/>
      <c r="P13" s="2"/>
      <c r="Q13" s="2"/>
      <c r="R13" s="3">
        <v>150</v>
      </c>
    </row>
    <row r="14" spans="1:18">
      <c r="A14" s="2" t="s">
        <v>185</v>
      </c>
      <c r="B14" s="2" t="s">
        <v>172</v>
      </c>
      <c r="C14" s="2" t="s">
        <v>173</v>
      </c>
      <c r="D14" s="2" t="s">
        <v>186</v>
      </c>
      <c r="E14" s="2" t="s">
        <v>187</v>
      </c>
      <c r="F14" s="2"/>
      <c r="G14" s="2"/>
      <c r="H14" s="2"/>
      <c r="I14" s="2"/>
      <c r="J14" s="2" t="s">
        <v>177</v>
      </c>
      <c r="K14" s="3">
        <v>0</v>
      </c>
      <c r="L14" s="3">
        <v>0</v>
      </c>
      <c r="M14" s="2"/>
      <c r="N14" s="2" t="s">
        <v>188</v>
      </c>
      <c r="O14" s="2"/>
      <c r="P14" s="2"/>
      <c r="Q14" s="2"/>
      <c r="R14" s="3">
        <v>150</v>
      </c>
    </row>
    <row r="15" spans="1:18">
      <c r="A15" s="2" t="s">
        <v>189</v>
      </c>
      <c r="B15" s="2" t="s">
        <v>172</v>
      </c>
      <c r="C15" s="2" t="s">
        <v>173</v>
      </c>
      <c r="D15" s="2" t="s">
        <v>190</v>
      </c>
      <c r="E15" s="2" t="s">
        <v>187</v>
      </c>
      <c r="F15" s="2"/>
      <c r="G15" s="2"/>
      <c r="H15" s="2"/>
      <c r="I15" s="2"/>
      <c r="J15" s="2" t="s">
        <v>177</v>
      </c>
      <c r="K15" s="3">
        <v>0</v>
      </c>
      <c r="L15" s="3">
        <v>0</v>
      </c>
      <c r="M15" s="2"/>
      <c r="N15" s="2" t="s">
        <v>188</v>
      </c>
      <c r="O15" s="2"/>
      <c r="P15" s="2"/>
      <c r="Q15" s="2"/>
      <c r="R15" s="3">
        <v>150</v>
      </c>
    </row>
    <row r="16" spans="1:18">
      <c r="A16" s="2" t="s">
        <v>191</v>
      </c>
      <c r="B16" s="2" t="s">
        <v>172</v>
      </c>
      <c r="C16" s="2" t="s">
        <v>173</v>
      </c>
      <c r="D16" s="2" t="s">
        <v>192</v>
      </c>
      <c r="E16" s="2" t="s">
        <v>187</v>
      </c>
      <c r="F16" s="2"/>
      <c r="G16" s="2"/>
      <c r="H16" s="2"/>
      <c r="I16" s="2"/>
      <c r="J16" s="2" t="s">
        <v>177</v>
      </c>
      <c r="K16" s="3">
        <v>0</v>
      </c>
      <c r="L16" s="3">
        <v>0</v>
      </c>
      <c r="M16" s="2"/>
      <c r="N16" s="2" t="s">
        <v>193</v>
      </c>
      <c r="O16" s="2"/>
      <c r="P16" s="2"/>
      <c r="Q16" s="2"/>
      <c r="R16" s="3">
        <v>150</v>
      </c>
    </row>
    <row r="17" spans="1:18">
      <c r="A17" s="2" t="s">
        <v>194</v>
      </c>
      <c r="B17" s="2" t="s">
        <v>172</v>
      </c>
      <c r="C17" s="2" t="s">
        <v>173</v>
      </c>
      <c r="D17" s="2" t="s">
        <v>195</v>
      </c>
      <c r="E17" s="2" t="s">
        <v>196</v>
      </c>
      <c r="F17" s="2"/>
      <c r="G17" s="2"/>
      <c r="H17" s="2"/>
      <c r="I17" s="2"/>
      <c r="J17" s="2" t="s">
        <v>177</v>
      </c>
      <c r="K17" s="3">
        <v>0</v>
      </c>
      <c r="L17" s="3">
        <v>0</v>
      </c>
      <c r="M17" s="2"/>
      <c r="N17" s="2" t="s">
        <v>193</v>
      </c>
      <c r="O17" s="2"/>
      <c r="P17" s="2"/>
      <c r="Q17" s="2"/>
      <c r="R17" s="3">
        <v>150</v>
      </c>
    </row>
    <row r="18" spans="1:18">
      <c r="A18" s="2" t="s">
        <v>197</v>
      </c>
      <c r="B18" s="2" t="s">
        <v>172</v>
      </c>
      <c r="C18" s="2" t="s">
        <v>173</v>
      </c>
      <c r="D18" s="2" t="s">
        <v>198</v>
      </c>
      <c r="E18" s="2" t="s">
        <v>196</v>
      </c>
      <c r="F18" s="2"/>
      <c r="G18" s="2"/>
      <c r="H18" s="2"/>
      <c r="I18" s="2"/>
      <c r="J18" s="2" t="s">
        <v>177</v>
      </c>
      <c r="K18" s="3">
        <v>0</v>
      </c>
      <c r="L18" s="3">
        <v>0</v>
      </c>
      <c r="M18" s="2"/>
      <c r="N18" s="2" t="s">
        <v>193</v>
      </c>
      <c r="O18" s="2"/>
      <c r="P18" s="2"/>
      <c r="Q18" s="2"/>
      <c r="R18" s="3">
        <v>150</v>
      </c>
    </row>
    <row r="19" spans="1:18">
      <c r="A19" s="2" t="s">
        <v>199</v>
      </c>
      <c r="B19" s="2" t="s">
        <v>172</v>
      </c>
      <c r="C19" s="2" t="s">
        <v>173</v>
      </c>
      <c r="D19" s="2" t="s">
        <v>200</v>
      </c>
      <c r="E19" s="2" t="s">
        <v>196</v>
      </c>
      <c r="F19" s="2"/>
      <c r="G19" s="2"/>
      <c r="H19" s="2"/>
      <c r="I19" s="2"/>
      <c r="J19" s="2" t="s">
        <v>177</v>
      </c>
      <c r="K19" s="3">
        <v>0</v>
      </c>
      <c r="L19" s="3">
        <v>0</v>
      </c>
      <c r="M19" s="2"/>
      <c r="N19" s="2" t="s">
        <v>193</v>
      </c>
      <c r="O19" s="2"/>
      <c r="P19" s="2"/>
      <c r="Q19" s="2"/>
      <c r="R19" s="3">
        <v>150</v>
      </c>
    </row>
    <row r="20" spans="1:18">
      <c r="A20" s="2" t="s">
        <v>201</v>
      </c>
      <c r="B20" s="2" t="s">
        <v>172</v>
      </c>
      <c r="C20" s="2" t="s">
        <v>173</v>
      </c>
      <c r="D20" s="2" t="s">
        <v>202</v>
      </c>
      <c r="E20" s="2" t="s">
        <v>196</v>
      </c>
      <c r="F20" s="2"/>
      <c r="G20" s="2"/>
      <c r="H20" s="2"/>
      <c r="I20" s="2"/>
      <c r="J20" s="2" t="s">
        <v>177</v>
      </c>
      <c r="K20" s="3">
        <v>0</v>
      </c>
      <c r="L20" s="3">
        <v>0</v>
      </c>
      <c r="M20" s="2"/>
      <c r="N20" s="2" t="s">
        <v>193</v>
      </c>
      <c r="O20" s="2"/>
      <c r="P20" s="2"/>
      <c r="Q20" s="2"/>
      <c r="R20" s="3">
        <v>150</v>
      </c>
    </row>
    <row r="21" spans="1:18">
      <c r="A21" s="2" t="s">
        <v>203</v>
      </c>
      <c r="B21" s="2" t="s">
        <v>172</v>
      </c>
      <c r="C21" s="2" t="s">
        <v>173</v>
      </c>
      <c r="D21" s="2" t="s">
        <v>204</v>
      </c>
      <c r="E21" s="2" t="s">
        <v>196</v>
      </c>
      <c r="F21" s="2"/>
      <c r="G21" s="2"/>
      <c r="H21" s="2"/>
      <c r="I21" s="2"/>
      <c r="J21" s="2" t="s">
        <v>177</v>
      </c>
      <c r="K21" s="3">
        <v>0</v>
      </c>
      <c r="L21" s="3">
        <v>0</v>
      </c>
      <c r="M21" s="2"/>
      <c r="N21" s="2" t="s">
        <v>193</v>
      </c>
      <c r="O21" s="2"/>
      <c r="P21" s="2"/>
      <c r="Q21" s="2"/>
      <c r="R21" s="3">
        <v>150</v>
      </c>
    </row>
    <row r="22" spans="1:18">
      <c r="A22" s="2" t="s">
        <v>205</v>
      </c>
      <c r="B22" s="2" t="s">
        <v>172</v>
      </c>
      <c r="C22" s="2" t="s">
        <v>173</v>
      </c>
      <c r="D22" s="2" t="s">
        <v>206</v>
      </c>
      <c r="E22" s="2" t="s">
        <v>187</v>
      </c>
      <c r="F22" s="2" t="s">
        <v>207</v>
      </c>
      <c r="G22" s="2"/>
      <c r="H22" s="2"/>
      <c r="I22" s="2"/>
      <c r="J22" s="2" t="s">
        <v>177</v>
      </c>
      <c r="K22" s="3">
        <v>0</v>
      </c>
      <c r="L22" s="3">
        <v>0</v>
      </c>
      <c r="M22" s="2"/>
      <c r="N22" s="2" t="s">
        <v>208</v>
      </c>
      <c r="O22" s="2"/>
      <c r="P22" s="2"/>
      <c r="Q22" s="2"/>
      <c r="R22" s="3">
        <v>150</v>
      </c>
    </row>
    <row r="23" spans="1:18">
      <c r="A23" s="2" t="s">
        <v>209</v>
      </c>
      <c r="B23" s="2" t="s">
        <v>172</v>
      </c>
      <c r="C23" s="2" t="s">
        <v>173</v>
      </c>
      <c r="D23" s="2" t="s">
        <v>210</v>
      </c>
      <c r="E23" s="2" t="s">
        <v>187</v>
      </c>
      <c r="F23" s="2"/>
      <c r="G23" s="2"/>
      <c r="H23" s="2"/>
      <c r="I23" s="2"/>
      <c r="J23" s="2" t="s">
        <v>177</v>
      </c>
      <c r="K23" s="3">
        <v>0</v>
      </c>
      <c r="L23" s="3">
        <v>0</v>
      </c>
      <c r="M23" s="2"/>
      <c r="N23" s="2" t="s">
        <v>193</v>
      </c>
      <c r="O23" s="2"/>
      <c r="P23" s="2"/>
      <c r="Q23" s="2"/>
      <c r="R23" s="3">
        <v>150</v>
      </c>
    </row>
    <row r="24" spans="1:18">
      <c r="A24" s="2" t="s">
        <v>211</v>
      </c>
      <c r="B24" s="2" t="s">
        <v>172</v>
      </c>
      <c r="C24" s="2" t="s">
        <v>173</v>
      </c>
      <c r="D24" s="2" t="s">
        <v>212</v>
      </c>
      <c r="E24" s="2" t="s">
        <v>187</v>
      </c>
      <c r="F24" s="2"/>
      <c r="G24" s="2"/>
      <c r="H24" s="2"/>
      <c r="I24" s="2"/>
      <c r="J24" s="2" t="s">
        <v>177</v>
      </c>
      <c r="K24" s="3">
        <v>0</v>
      </c>
      <c r="L24" s="3">
        <v>0</v>
      </c>
      <c r="M24" s="2"/>
      <c r="N24" s="2" t="s">
        <v>193</v>
      </c>
      <c r="O24" s="2"/>
      <c r="P24" s="2"/>
      <c r="Q24" s="2"/>
      <c r="R24" s="3">
        <v>150</v>
      </c>
    </row>
    <row r="25" spans="1:18">
      <c r="A25" s="2" t="s">
        <v>213</v>
      </c>
      <c r="B25" s="2" t="s">
        <v>172</v>
      </c>
      <c r="C25" s="2" t="s">
        <v>173</v>
      </c>
      <c r="D25" s="2" t="s">
        <v>214</v>
      </c>
      <c r="E25" s="2" t="s">
        <v>187</v>
      </c>
      <c r="F25" s="2"/>
      <c r="G25" s="2"/>
      <c r="H25" s="2"/>
      <c r="I25" s="2"/>
      <c r="J25" s="2" t="s">
        <v>177</v>
      </c>
      <c r="K25" s="3">
        <v>0</v>
      </c>
      <c r="L25" s="3">
        <v>0</v>
      </c>
      <c r="M25" s="2"/>
      <c r="N25" s="2" t="s">
        <v>193</v>
      </c>
      <c r="O25" s="2"/>
      <c r="P25" s="2"/>
      <c r="Q25" s="2"/>
      <c r="R25" s="3">
        <v>150</v>
      </c>
    </row>
    <row r="26" spans="1:18">
      <c r="A26" s="2" t="s">
        <v>215</v>
      </c>
      <c r="B26" s="2" t="s">
        <v>172</v>
      </c>
      <c r="C26" s="2" t="s">
        <v>173</v>
      </c>
      <c r="D26" s="2" t="s">
        <v>216</v>
      </c>
      <c r="E26" s="2" t="s">
        <v>187</v>
      </c>
      <c r="F26" s="2"/>
      <c r="G26" s="2"/>
      <c r="H26" s="2"/>
      <c r="I26" s="2"/>
      <c r="J26" s="2" t="s">
        <v>177</v>
      </c>
      <c r="K26" s="3">
        <v>0</v>
      </c>
      <c r="L26" s="3">
        <v>0</v>
      </c>
      <c r="M26" s="2"/>
      <c r="N26" s="2" t="s">
        <v>193</v>
      </c>
      <c r="O26" s="2"/>
      <c r="P26" s="2"/>
      <c r="Q26" s="2"/>
      <c r="R26" s="3">
        <v>150</v>
      </c>
    </row>
    <row r="27" spans="1:18">
      <c r="A27" s="2" t="s">
        <v>217</v>
      </c>
      <c r="B27" s="2" t="s">
        <v>172</v>
      </c>
      <c r="C27" s="2" t="s">
        <v>173</v>
      </c>
      <c r="D27" s="2" t="s">
        <v>218</v>
      </c>
      <c r="E27" s="2" t="s">
        <v>219</v>
      </c>
      <c r="F27" s="2"/>
      <c r="G27" s="2"/>
      <c r="H27" s="2"/>
      <c r="I27" s="2"/>
      <c r="J27" s="2" t="s">
        <v>177</v>
      </c>
      <c r="K27" s="3">
        <v>0</v>
      </c>
      <c r="L27" s="3">
        <v>0</v>
      </c>
      <c r="M27" s="2"/>
      <c r="N27" s="2" t="s">
        <v>220</v>
      </c>
      <c r="O27" s="2"/>
      <c r="P27" s="2"/>
      <c r="Q27" s="2"/>
      <c r="R27" s="3">
        <v>150</v>
      </c>
    </row>
    <row r="28" spans="1:18">
      <c r="A28" s="2" t="s">
        <v>221</v>
      </c>
      <c r="B28" s="2" t="s">
        <v>172</v>
      </c>
      <c r="C28" s="2" t="s">
        <v>173</v>
      </c>
      <c r="D28" s="2" t="s">
        <v>218</v>
      </c>
      <c r="E28" s="2" t="s">
        <v>219</v>
      </c>
      <c r="F28" s="2"/>
      <c r="G28" s="2"/>
      <c r="H28" s="2"/>
      <c r="I28" s="2"/>
      <c r="J28" s="2" t="s">
        <v>177</v>
      </c>
      <c r="K28" s="3">
        <v>0</v>
      </c>
      <c r="L28" s="3">
        <v>0</v>
      </c>
      <c r="M28" s="2"/>
      <c r="N28" s="2" t="s">
        <v>220</v>
      </c>
      <c r="O28" s="2"/>
      <c r="P28" s="2"/>
      <c r="Q28" s="2"/>
      <c r="R28" s="3">
        <v>150</v>
      </c>
    </row>
    <row r="29" spans="1:18">
      <c r="A29" s="2" t="s">
        <v>222</v>
      </c>
      <c r="B29" s="2" t="s">
        <v>172</v>
      </c>
      <c r="C29" s="2" t="s">
        <v>173</v>
      </c>
      <c r="D29" s="2" t="s">
        <v>218</v>
      </c>
      <c r="E29" s="2" t="s">
        <v>219</v>
      </c>
      <c r="F29" s="2"/>
      <c r="G29" s="2"/>
      <c r="H29" s="2"/>
      <c r="I29" s="2"/>
      <c r="J29" s="2" t="s">
        <v>177</v>
      </c>
      <c r="K29" s="3">
        <v>0</v>
      </c>
      <c r="L29" s="3">
        <v>0</v>
      </c>
      <c r="M29" s="2"/>
      <c r="N29" s="2" t="s">
        <v>220</v>
      </c>
      <c r="O29" s="2"/>
      <c r="P29" s="2"/>
      <c r="Q29" s="2"/>
      <c r="R29" s="3">
        <v>150</v>
      </c>
    </row>
    <row r="30" spans="1:18">
      <c r="A30" s="2" t="s">
        <v>223</v>
      </c>
      <c r="B30" s="2" t="s">
        <v>172</v>
      </c>
      <c r="C30" s="2" t="s">
        <v>173</v>
      </c>
      <c r="D30" s="2" t="s">
        <v>218</v>
      </c>
      <c r="E30" s="2" t="s">
        <v>219</v>
      </c>
      <c r="F30" s="2"/>
      <c r="G30" s="2"/>
      <c r="H30" s="2"/>
      <c r="I30" s="2"/>
      <c r="J30" s="2" t="s">
        <v>177</v>
      </c>
      <c r="K30" s="3">
        <v>0</v>
      </c>
      <c r="L30" s="3">
        <v>0</v>
      </c>
      <c r="M30" s="2"/>
      <c r="N30" s="2" t="s">
        <v>220</v>
      </c>
      <c r="O30" s="2"/>
      <c r="P30" s="2"/>
      <c r="Q30" s="2"/>
      <c r="R30" s="3">
        <v>150</v>
      </c>
    </row>
    <row r="31" spans="1:18">
      <c r="A31" s="2" t="s">
        <v>224</v>
      </c>
      <c r="B31" s="2" t="s">
        <v>172</v>
      </c>
      <c r="C31" s="2" t="s">
        <v>173</v>
      </c>
      <c r="D31" s="2" t="s">
        <v>218</v>
      </c>
      <c r="E31" s="2" t="s">
        <v>219</v>
      </c>
      <c r="F31" s="2"/>
      <c r="G31" s="2"/>
      <c r="H31" s="2"/>
      <c r="I31" s="2"/>
      <c r="J31" s="2" t="s">
        <v>177</v>
      </c>
      <c r="K31" s="3">
        <v>0</v>
      </c>
      <c r="L31" s="3">
        <v>0</v>
      </c>
      <c r="M31" s="2"/>
      <c r="N31" s="2" t="s">
        <v>220</v>
      </c>
      <c r="O31" s="2"/>
      <c r="P31" s="2"/>
      <c r="Q31" s="2"/>
      <c r="R31" s="3">
        <v>150</v>
      </c>
    </row>
    <row r="32" spans="1:18">
      <c r="A32" s="2" t="s">
        <v>225</v>
      </c>
      <c r="B32" s="2" t="s">
        <v>172</v>
      </c>
      <c r="C32" s="2" t="s">
        <v>173</v>
      </c>
      <c r="D32" s="2" t="s">
        <v>218</v>
      </c>
      <c r="E32" s="2" t="s">
        <v>219</v>
      </c>
      <c r="F32" s="2"/>
      <c r="G32" s="2"/>
      <c r="H32" s="2"/>
      <c r="I32" s="2"/>
      <c r="J32" s="2" t="s">
        <v>177</v>
      </c>
      <c r="K32" s="3">
        <v>0</v>
      </c>
      <c r="L32" s="3">
        <v>0</v>
      </c>
      <c r="M32" s="2"/>
      <c r="N32" s="2" t="s">
        <v>220</v>
      </c>
      <c r="O32" s="2"/>
      <c r="P32" s="2"/>
      <c r="Q32" s="2"/>
      <c r="R32" s="3">
        <v>150</v>
      </c>
    </row>
    <row r="33" spans="1:18">
      <c r="A33" s="2" t="s">
        <v>226</v>
      </c>
      <c r="B33" s="2" t="s">
        <v>172</v>
      </c>
      <c r="C33" s="2" t="s">
        <v>173</v>
      </c>
      <c r="D33" s="2" t="s">
        <v>218</v>
      </c>
      <c r="E33" s="2" t="s">
        <v>219</v>
      </c>
      <c r="F33" s="2"/>
      <c r="G33" s="2"/>
      <c r="H33" s="2"/>
      <c r="I33" s="2"/>
      <c r="J33" s="2" t="s">
        <v>177</v>
      </c>
      <c r="K33" s="3">
        <v>0</v>
      </c>
      <c r="L33" s="3">
        <v>0</v>
      </c>
      <c r="M33" s="2"/>
      <c r="N33" s="2" t="s">
        <v>220</v>
      </c>
      <c r="O33" s="2"/>
      <c r="P33" s="2"/>
      <c r="Q33" s="2"/>
      <c r="R33" s="3">
        <v>150</v>
      </c>
    </row>
    <row r="34" spans="1:18">
      <c r="A34" s="2" t="s">
        <v>227</v>
      </c>
      <c r="B34" s="2" t="s">
        <v>172</v>
      </c>
      <c r="C34" s="2" t="s">
        <v>173</v>
      </c>
      <c r="D34" s="2" t="s">
        <v>218</v>
      </c>
      <c r="E34" s="2" t="s">
        <v>219</v>
      </c>
      <c r="F34" s="2"/>
      <c r="G34" s="2"/>
      <c r="H34" s="2"/>
      <c r="I34" s="2"/>
      <c r="J34" s="2" t="s">
        <v>177</v>
      </c>
      <c r="K34" s="3">
        <v>0</v>
      </c>
      <c r="L34" s="3">
        <v>0</v>
      </c>
      <c r="M34" s="2"/>
      <c r="N34" s="2" t="s">
        <v>220</v>
      </c>
      <c r="O34" s="2"/>
      <c r="P34" s="2"/>
      <c r="Q34" s="2"/>
      <c r="R34" s="3">
        <v>150</v>
      </c>
    </row>
    <row r="35" spans="1:18">
      <c r="A35" s="2" t="s">
        <v>228</v>
      </c>
      <c r="B35" s="2" t="s">
        <v>172</v>
      </c>
      <c r="C35" s="2" t="s">
        <v>173</v>
      </c>
      <c r="D35" s="2" t="s">
        <v>218</v>
      </c>
      <c r="E35" s="2" t="s">
        <v>219</v>
      </c>
      <c r="F35" s="2"/>
      <c r="G35" s="2"/>
      <c r="H35" s="2"/>
      <c r="I35" s="2"/>
      <c r="J35" s="2" t="s">
        <v>177</v>
      </c>
      <c r="K35" s="3">
        <v>0</v>
      </c>
      <c r="L35" s="3">
        <v>0</v>
      </c>
      <c r="M35" s="2"/>
      <c r="N35" s="2" t="s">
        <v>220</v>
      </c>
      <c r="O35" s="2"/>
      <c r="P35" s="2"/>
      <c r="Q35" s="2"/>
      <c r="R35" s="3">
        <v>150</v>
      </c>
    </row>
  </sheetData>
  <autoFilter ref="A1:R35"/>
  <conditionalFormatting sqref="J2:J501">
    <cfRule type="containsText" dxfId="0" priority="1" operator="containsText" text="Won/Paid">
      <formula>NOT(ISERROR(SEARCH("Won/Paid",J2)))</formula>
    </cfRule>
    <cfRule type="containsText" dxfId="1" priority="2" operator="containsText" text="Do Not Contact">
      <formula>NOT(ISERROR(SEARCH("Do Not Contact",J2)))</formula>
    </cfRule>
  </conditionalFormatting>
  <dataValidations count="1">
    <dataValidation type="list" allowBlank="1" showInputMessage="1" showErrorMessage="1" sqref="J2:J501">
      <formula1>"Contact Ready,Contacted,Replied,Negotiating,Won/Paid,Fulfilled,Follow-up,Lost/Not a Fit,Do Not Contact,Reverify"</formula1>
    </dataValidation>
  </dataValidations>
  <hyperlinks>
    <hyperlink ref="Q2" r:id="rId1"/>
    <hyperlink ref="Q3" r:id="rId2"/>
    <hyperlink ref="Q4" r:id="rId3"/>
    <hyperlink ref="Q5" r:id="rId4"/>
    <hyperlink ref="Q6" r:id="rId5"/>
    <hyperlink ref="Q7" r:id="rId6"/>
    <hyperlink ref="Q8" r:id="rId7"/>
    <hyperlink ref="Q9" r:id="rId8"/>
    <hyperlink ref="Q10" r:id="rId9"/>
    <hyperlink ref="Q11" r:id="rId10"/>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L27"/>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44.7109375" customWidth="1"/>
    <col min="4" max="4" width="24.7109375" customWidth="1"/>
    <col min="5" max="5" width="44.7109375" customWidth="1"/>
    <col min="6" max="6" width="24.7109375" customWidth="1"/>
    <col min="7" max="7" width="44.7109375" customWidth="1"/>
    <col min="8" max="8" width="36.7109375" customWidth="1"/>
    <col min="9" max="9" width="18.7109375" customWidth="1"/>
    <col min="10" max="10" width="66.7109375" customWidth="1"/>
    <col min="11" max="11" width="12.7109375" customWidth="1"/>
    <col min="12" max="12" width="14.7109375" customWidth="1"/>
  </cols>
  <sheetData>
    <row r="1" spans="1:12">
      <c r="A1" s="1" t="s">
        <v>1</v>
      </c>
      <c r="B1" s="1" t="s">
        <v>157</v>
      </c>
      <c r="C1" s="1" t="s">
        <v>229</v>
      </c>
      <c r="D1" s="1" t="s">
        <v>159</v>
      </c>
      <c r="E1" s="1" t="s">
        <v>230</v>
      </c>
      <c r="F1" s="1" t="s">
        <v>161</v>
      </c>
      <c r="G1" s="1" t="s">
        <v>231</v>
      </c>
      <c r="H1" s="1" t="s">
        <v>162</v>
      </c>
      <c r="I1" s="1" t="s">
        <v>115</v>
      </c>
      <c r="J1" s="1" t="s">
        <v>166</v>
      </c>
      <c r="K1" s="1" t="s">
        <v>164</v>
      </c>
      <c r="L1" s="1" t="s">
        <v>165</v>
      </c>
    </row>
    <row r="2" spans="1:12">
      <c r="A2" s="2" t="s">
        <v>179</v>
      </c>
      <c r="B2" s="2" t="s">
        <v>180</v>
      </c>
      <c r="C2" s="2" t="s">
        <v>232</v>
      </c>
      <c r="D2" s="2" t="s">
        <v>182</v>
      </c>
      <c r="E2" s="2" t="s">
        <v>233</v>
      </c>
      <c r="F2" s="2" t="s">
        <v>183</v>
      </c>
      <c r="G2" s="2" t="s">
        <v>234</v>
      </c>
      <c r="H2" s="2"/>
      <c r="I2" s="2" t="s">
        <v>177</v>
      </c>
      <c r="J2" s="2" t="s">
        <v>184</v>
      </c>
      <c r="K2" s="3">
        <v>0</v>
      </c>
      <c r="L2" s="2"/>
    </row>
    <row r="3" spans="1:12">
      <c r="A3" s="2" t="s">
        <v>215</v>
      </c>
      <c r="B3" s="2" t="s">
        <v>216</v>
      </c>
      <c r="C3" s="2" t="s">
        <v>235</v>
      </c>
      <c r="D3" s="2"/>
      <c r="E3" s="2"/>
      <c r="F3" s="2"/>
      <c r="G3" s="2"/>
      <c r="H3" s="2"/>
      <c r="I3" s="2" t="s">
        <v>177</v>
      </c>
      <c r="J3" s="2" t="s">
        <v>193</v>
      </c>
      <c r="K3" s="3">
        <v>0</v>
      </c>
      <c r="L3" s="2"/>
    </row>
    <row r="4" spans="1:12">
      <c r="A4" s="2" t="s">
        <v>189</v>
      </c>
      <c r="B4" s="2" t="s">
        <v>190</v>
      </c>
      <c r="C4" s="2" t="s">
        <v>236</v>
      </c>
      <c r="D4" s="2"/>
      <c r="E4" s="2"/>
      <c r="F4" s="2"/>
      <c r="G4" s="2"/>
      <c r="H4" s="2"/>
      <c r="I4" s="2" t="s">
        <v>177</v>
      </c>
      <c r="J4" s="2" t="s">
        <v>188</v>
      </c>
      <c r="K4" s="3">
        <v>0</v>
      </c>
      <c r="L4" s="2"/>
    </row>
    <row r="5" spans="1:12">
      <c r="A5" s="2" t="s">
        <v>205</v>
      </c>
      <c r="B5" s="2" t="s">
        <v>206</v>
      </c>
      <c r="C5" s="2" t="s">
        <v>237</v>
      </c>
      <c r="D5" s="2" t="s">
        <v>207</v>
      </c>
      <c r="E5" s="2" t="s">
        <v>238</v>
      </c>
      <c r="F5" s="2"/>
      <c r="G5" s="2"/>
      <c r="H5" s="2"/>
      <c r="I5" s="2" t="s">
        <v>177</v>
      </c>
      <c r="J5" s="2" t="s">
        <v>208</v>
      </c>
      <c r="K5" s="3">
        <v>0</v>
      </c>
      <c r="L5" s="2"/>
    </row>
    <row r="6" spans="1:12">
      <c r="A6" s="2" t="s">
        <v>213</v>
      </c>
      <c r="B6" s="2" t="s">
        <v>214</v>
      </c>
      <c r="C6" s="2" t="s">
        <v>239</v>
      </c>
      <c r="D6" s="2"/>
      <c r="E6" s="2"/>
      <c r="F6" s="2"/>
      <c r="G6" s="2"/>
      <c r="H6" s="2"/>
      <c r="I6" s="2" t="s">
        <v>177</v>
      </c>
      <c r="J6" s="2" t="s">
        <v>193</v>
      </c>
      <c r="K6" s="3">
        <v>0</v>
      </c>
      <c r="L6" s="2"/>
    </row>
    <row r="7" spans="1:12">
      <c r="A7" s="2" t="s">
        <v>211</v>
      </c>
      <c r="B7" s="2" t="s">
        <v>212</v>
      </c>
      <c r="C7" s="2" t="s">
        <v>240</v>
      </c>
      <c r="D7" s="2"/>
      <c r="E7" s="2"/>
      <c r="F7" s="2"/>
      <c r="G7" s="2"/>
      <c r="H7" s="2"/>
      <c r="I7" s="2" t="s">
        <v>177</v>
      </c>
      <c r="J7" s="2" t="s">
        <v>193</v>
      </c>
      <c r="K7" s="3">
        <v>0</v>
      </c>
      <c r="L7" s="2"/>
    </row>
    <row r="8" spans="1:12">
      <c r="A8" s="2" t="s">
        <v>185</v>
      </c>
      <c r="B8" s="2" t="s">
        <v>186</v>
      </c>
      <c r="C8" s="2" t="s">
        <v>241</v>
      </c>
      <c r="D8" s="2"/>
      <c r="E8" s="2"/>
      <c r="F8" s="2"/>
      <c r="G8" s="2"/>
      <c r="H8" s="2"/>
      <c r="I8" s="2" t="s">
        <v>177</v>
      </c>
      <c r="J8" s="2" t="s">
        <v>188</v>
      </c>
      <c r="K8" s="3">
        <v>0</v>
      </c>
      <c r="L8" s="2"/>
    </row>
    <row r="9" spans="1:12">
      <c r="A9" s="2" t="s">
        <v>171</v>
      </c>
      <c r="B9" s="2" t="s">
        <v>174</v>
      </c>
      <c r="C9" s="2" t="s">
        <v>242</v>
      </c>
      <c r="D9" s="2" t="s">
        <v>176</v>
      </c>
      <c r="E9" s="2" t="s">
        <v>243</v>
      </c>
      <c r="F9" s="2"/>
      <c r="G9" s="2"/>
      <c r="H9" s="2"/>
      <c r="I9" s="2" t="s">
        <v>177</v>
      </c>
      <c r="J9" s="2" t="s">
        <v>178</v>
      </c>
      <c r="K9" s="3">
        <v>0</v>
      </c>
      <c r="L9" s="2"/>
    </row>
    <row r="10" spans="1:12">
      <c r="A10" s="2" t="s">
        <v>191</v>
      </c>
      <c r="B10" s="2" t="s">
        <v>192</v>
      </c>
      <c r="C10" s="2" t="s">
        <v>244</v>
      </c>
      <c r="D10" s="2"/>
      <c r="E10" s="2"/>
      <c r="F10" s="2"/>
      <c r="G10" s="2"/>
      <c r="H10" s="2"/>
      <c r="I10" s="2" t="s">
        <v>177</v>
      </c>
      <c r="J10" s="2" t="s">
        <v>193</v>
      </c>
      <c r="K10" s="3">
        <v>0</v>
      </c>
      <c r="L10" s="2"/>
    </row>
    <row r="11" spans="1:12">
      <c r="A11" s="2" t="s">
        <v>209</v>
      </c>
      <c r="B11" s="2" t="s">
        <v>210</v>
      </c>
      <c r="C11" s="2" t="s">
        <v>245</v>
      </c>
      <c r="D11" s="2"/>
      <c r="E11" s="2"/>
      <c r="F11" s="2"/>
      <c r="G11" s="2"/>
      <c r="H11" s="2"/>
      <c r="I11" s="2" t="s">
        <v>177</v>
      </c>
      <c r="J11" s="2" t="s">
        <v>193</v>
      </c>
      <c r="K11" s="3">
        <v>0</v>
      </c>
      <c r="L11" s="2"/>
    </row>
    <row r="12" spans="1:12">
      <c r="A12" s="2" t="s">
        <v>246</v>
      </c>
      <c r="B12" s="2" t="s">
        <v>247</v>
      </c>
      <c r="C12" s="2" t="s">
        <v>248</v>
      </c>
      <c r="D12" s="2"/>
      <c r="E12" s="2"/>
      <c r="F12" s="2"/>
      <c r="G12" s="2"/>
      <c r="H12" s="2"/>
      <c r="I12" s="2" t="s">
        <v>177</v>
      </c>
      <c r="J12" s="2" t="s">
        <v>249</v>
      </c>
      <c r="K12" s="3">
        <v>0</v>
      </c>
      <c r="L12" s="2"/>
    </row>
    <row r="13" spans="1:12">
      <c r="A13" s="2" t="s">
        <v>199</v>
      </c>
      <c r="B13" s="2" t="s">
        <v>200</v>
      </c>
      <c r="C13" s="2" t="s">
        <v>250</v>
      </c>
      <c r="D13" s="2"/>
      <c r="E13" s="2"/>
      <c r="F13" s="2"/>
      <c r="G13" s="2"/>
      <c r="H13" s="2"/>
      <c r="I13" s="2" t="s">
        <v>177</v>
      </c>
      <c r="J13" s="2" t="s">
        <v>193</v>
      </c>
      <c r="K13" s="3">
        <v>0</v>
      </c>
      <c r="L13" s="2"/>
    </row>
    <row r="14" spans="1:12">
      <c r="A14" s="2" t="s">
        <v>194</v>
      </c>
      <c r="B14" s="2" t="s">
        <v>195</v>
      </c>
      <c r="C14" s="2" t="s">
        <v>251</v>
      </c>
      <c r="D14" s="2"/>
      <c r="E14" s="2"/>
      <c r="F14" s="2"/>
      <c r="G14" s="2"/>
      <c r="H14" s="2"/>
      <c r="I14" s="2" t="s">
        <v>177</v>
      </c>
      <c r="J14" s="2" t="s">
        <v>193</v>
      </c>
      <c r="K14" s="3">
        <v>0</v>
      </c>
      <c r="L14" s="2"/>
    </row>
    <row r="15" spans="1:12">
      <c r="A15" s="2" t="s">
        <v>201</v>
      </c>
      <c r="B15" s="2" t="s">
        <v>202</v>
      </c>
      <c r="C15" s="2" t="s">
        <v>252</v>
      </c>
      <c r="D15" s="2"/>
      <c r="E15" s="2"/>
      <c r="F15" s="2"/>
      <c r="G15" s="2"/>
      <c r="H15" s="2"/>
      <c r="I15" s="2" t="s">
        <v>177</v>
      </c>
      <c r="J15" s="2" t="s">
        <v>193</v>
      </c>
      <c r="K15" s="3">
        <v>0</v>
      </c>
      <c r="L15" s="2"/>
    </row>
    <row r="16" spans="1:12">
      <c r="A16" s="2" t="s">
        <v>203</v>
      </c>
      <c r="B16" s="2" t="s">
        <v>204</v>
      </c>
      <c r="C16" s="2" t="s">
        <v>253</v>
      </c>
      <c r="D16" s="2"/>
      <c r="E16" s="2"/>
      <c r="F16" s="2"/>
      <c r="G16" s="2"/>
      <c r="H16" s="2"/>
      <c r="I16" s="2" t="s">
        <v>177</v>
      </c>
      <c r="J16" s="2" t="s">
        <v>193</v>
      </c>
      <c r="K16" s="3">
        <v>0</v>
      </c>
      <c r="L16" s="2"/>
    </row>
    <row r="17" spans="1:12">
      <c r="A17" s="2" t="s">
        <v>197</v>
      </c>
      <c r="B17" s="2" t="s">
        <v>198</v>
      </c>
      <c r="C17" s="2" t="s">
        <v>254</v>
      </c>
      <c r="D17" s="2"/>
      <c r="E17" s="2"/>
      <c r="F17" s="2"/>
      <c r="G17" s="2"/>
      <c r="H17" s="2"/>
      <c r="I17" s="2" t="s">
        <v>177</v>
      </c>
      <c r="J17" s="2" t="s">
        <v>193</v>
      </c>
      <c r="K17" s="3">
        <v>0</v>
      </c>
      <c r="L17" s="2"/>
    </row>
    <row r="18" spans="1:12">
      <c r="A18" s="2" t="s">
        <v>217</v>
      </c>
      <c r="B18" s="2" t="s">
        <v>218</v>
      </c>
      <c r="C18" s="2" t="s">
        <v>255</v>
      </c>
      <c r="D18" s="2"/>
      <c r="E18" s="2"/>
      <c r="F18" s="2"/>
      <c r="G18" s="2"/>
      <c r="H18" s="2"/>
      <c r="I18" s="2" t="s">
        <v>177</v>
      </c>
      <c r="J18" s="2" t="s">
        <v>220</v>
      </c>
      <c r="K18" s="3">
        <v>0</v>
      </c>
      <c r="L18" s="2"/>
    </row>
    <row r="19" spans="1:12">
      <c r="A19" s="2" t="s">
        <v>221</v>
      </c>
      <c r="B19" s="2" t="s">
        <v>218</v>
      </c>
      <c r="C19" s="2" t="s">
        <v>256</v>
      </c>
      <c r="D19" s="2"/>
      <c r="E19" s="2"/>
      <c r="F19" s="2"/>
      <c r="G19" s="2"/>
      <c r="H19" s="2"/>
      <c r="I19" s="2" t="s">
        <v>177</v>
      </c>
      <c r="J19" s="2" t="s">
        <v>220</v>
      </c>
      <c r="K19" s="3">
        <v>0</v>
      </c>
      <c r="L19" s="2"/>
    </row>
    <row r="20" spans="1:12">
      <c r="A20" s="2" t="s">
        <v>222</v>
      </c>
      <c r="B20" s="2" t="s">
        <v>218</v>
      </c>
      <c r="C20" s="2" t="s">
        <v>257</v>
      </c>
      <c r="D20" s="2"/>
      <c r="E20" s="2"/>
      <c r="F20" s="2"/>
      <c r="G20" s="2"/>
      <c r="H20" s="2"/>
      <c r="I20" s="2" t="s">
        <v>177</v>
      </c>
      <c r="J20" s="2" t="s">
        <v>220</v>
      </c>
      <c r="K20" s="3">
        <v>0</v>
      </c>
      <c r="L20" s="2"/>
    </row>
    <row r="21" spans="1:12">
      <c r="A21" s="2" t="s">
        <v>223</v>
      </c>
      <c r="B21" s="2" t="s">
        <v>218</v>
      </c>
      <c r="C21" s="2" t="s">
        <v>258</v>
      </c>
      <c r="D21" s="2"/>
      <c r="E21" s="2"/>
      <c r="F21" s="2"/>
      <c r="G21" s="2"/>
      <c r="H21" s="2"/>
      <c r="I21" s="2" t="s">
        <v>177</v>
      </c>
      <c r="J21" s="2" t="s">
        <v>220</v>
      </c>
      <c r="K21" s="3">
        <v>0</v>
      </c>
      <c r="L21" s="2"/>
    </row>
    <row r="22" spans="1:12">
      <c r="A22" s="2" t="s">
        <v>224</v>
      </c>
      <c r="B22" s="2" t="s">
        <v>218</v>
      </c>
      <c r="C22" s="2" t="s">
        <v>259</v>
      </c>
      <c r="D22" s="2"/>
      <c r="E22" s="2"/>
      <c r="F22" s="2"/>
      <c r="G22" s="2"/>
      <c r="H22" s="2"/>
      <c r="I22" s="2" t="s">
        <v>177</v>
      </c>
      <c r="J22" s="2" t="s">
        <v>220</v>
      </c>
      <c r="K22" s="3">
        <v>0</v>
      </c>
      <c r="L22" s="2"/>
    </row>
    <row r="23" spans="1:12">
      <c r="A23" s="2" t="s">
        <v>225</v>
      </c>
      <c r="B23" s="2" t="s">
        <v>218</v>
      </c>
      <c r="C23" s="2" t="s">
        <v>260</v>
      </c>
      <c r="D23" s="2"/>
      <c r="E23" s="2"/>
      <c r="F23" s="2"/>
      <c r="G23" s="2"/>
      <c r="H23" s="2"/>
      <c r="I23" s="2" t="s">
        <v>177</v>
      </c>
      <c r="J23" s="2" t="s">
        <v>220</v>
      </c>
      <c r="K23" s="3">
        <v>0</v>
      </c>
      <c r="L23" s="2"/>
    </row>
    <row r="24" spans="1:12">
      <c r="A24" s="2" t="s">
        <v>226</v>
      </c>
      <c r="B24" s="2" t="s">
        <v>218</v>
      </c>
      <c r="C24" s="2" t="s">
        <v>261</v>
      </c>
      <c r="D24" s="2"/>
      <c r="E24" s="2"/>
      <c r="F24" s="2"/>
      <c r="G24" s="2"/>
      <c r="H24" s="2"/>
      <c r="I24" s="2" t="s">
        <v>177</v>
      </c>
      <c r="J24" s="2" t="s">
        <v>220</v>
      </c>
      <c r="K24" s="3">
        <v>0</v>
      </c>
      <c r="L24" s="2"/>
    </row>
    <row r="25" spans="1:12">
      <c r="A25" s="2" t="s">
        <v>227</v>
      </c>
      <c r="B25" s="2" t="s">
        <v>218</v>
      </c>
      <c r="C25" s="2" t="s">
        <v>262</v>
      </c>
      <c r="D25" s="2"/>
      <c r="E25" s="2"/>
      <c r="F25" s="2"/>
      <c r="G25" s="2"/>
      <c r="H25" s="2"/>
      <c r="I25" s="2" t="s">
        <v>177</v>
      </c>
      <c r="J25" s="2" t="s">
        <v>220</v>
      </c>
      <c r="K25" s="3">
        <v>0</v>
      </c>
      <c r="L25" s="2"/>
    </row>
    <row r="26" spans="1:12">
      <c r="A26" s="2" t="s">
        <v>228</v>
      </c>
      <c r="B26" s="2" t="s">
        <v>218</v>
      </c>
      <c r="C26" s="2" t="s">
        <v>263</v>
      </c>
      <c r="D26" s="2"/>
      <c r="E26" s="2"/>
      <c r="F26" s="2"/>
      <c r="G26" s="2"/>
      <c r="H26" s="2"/>
      <c r="I26" s="2" t="s">
        <v>177</v>
      </c>
      <c r="J26" s="2" t="s">
        <v>220</v>
      </c>
      <c r="K26" s="3">
        <v>0</v>
      </c>
      <c r="L26" s="2"/>
    </row>
    <row r="27" spans="1:12">
      <c r="A27" s="2" t="s">
        <v>264</v>
      </c>
      <c r="B27" s="2" t="s">
        <v>218</v>
      </c>
      <c r="C27" s="2" t="s">
        <v>265</v>
      </c>
      <c r="D27" s="2"/>
      <c r="E27" s="2"/>
      <c r="F27" s="2"/>
      <c r="G27" s="2"/>
      <c r="H27" s="2"/>
      <c r="I27" s="2" t="s">
        <v>266</v>
      </c>
      <c r="J27" s="2" t="s">
        <v>267</v>
      </c>
      <c r="K27" s="3">
        <v>0</v>
      </c>
      <c r="L2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I22"/>
  <sheetViews>
    <sheetView workbookViewId="0">
      <pane ySplit="1" topLeftCell="A2" activePane="bottomLeft" state="frozen"/>
      <selection pane="bottomLeft"/>
    </sheetView>
  </sheetViews>
  <sheetFormatPr defaultRowHeight="15"/>
  <cols>
    <col min="1" max="1" width="32.7109375" customWidth="1"/>
    <col min="2" max="2" width="18.7109375" customWidth="1"/>
    <col min="3" max="3" width="24.7109375" customWidth="1"/>
    <col min="4" max="4" width="34.7109375" customWidth="1"/>
    <col min="5" max="6" width="12.7109375" customWidth="1"/>
    <col min="7" max="7" width="14.7109375" customWidth="1"/>
    <col min="8" max="8" width="12.7109375" customWidth="1"/>
    <col min="9" max="9" width="64.7109375" customWidth="1"/>
  </cols>
  <sheetData>
    <row r="1" spans="1:9">
      <c r="A1" s="4" t="s">
        <v>1</v>
      </c>
      <c r="B1" s="4" t="s">
        <v>115</v>
      </c>
      <c r="C1" s="4" t="s">
        <v>157</v>
      </c>
      <c r="D1" s="4" t="s">
        <v>162</v>
      </c>
      <c r="E1" s="4" t="s">
        <v>163</v>
      </c>
      <c r="F1" s="4" t="s">
        <v>164</v>
      </c>
      <c r="G1" s="4" t="s">
        <v>268</v>
      </c>
      <c r="H1" s="4" t="s">
        <v>167</v>
      </c>
      <c r="I1" s="4" t="s">
        <v>166</v>
      </c>
    </row>
    <row r="2" spans="1:9">
      <c r="A2" s="2" t="s">
        <v>269</v>
      </c>
      <c r="B2" s="2" t="s">
        <v>27</v>
      </c>
      <c r="C2" s="2"/>
      <c r="D2" s="2"/>
      <c r="E2" s="3">
        <v>0</v>
      </c>
      <c r="F2" s="3">
        <v>0</v>
      </c>
      <c r="G2" s="2" t="s">
        <v>270</v>
      </c>
      <c r="H2" s="2"/>
      <c r="I2" s="2" t="s">
        <v>271</v>
      </c>
    </row>
    <row r="3" spans="1:9">
      <c r="A3" s="2" t="s">
        <v>272</v>
      </c>
      <c r="B3" s="2" t="s">
        <v>27</v>
      </c>
      <c r="C3" s="2"/>
      <c r="D3" s="2"/>
      <c r="E3" s="3">
        <v>0</v>
      </c>
      <c r="F3" s="3">
        <v>0</v>
      </c>
      <c r="G3" s="2" t="s">
        <v>273</v>
      </c>
      <c r="H3" s="2"/>
      <c r="I3" s="2"/>
    </row>
    <row r="4" spans="1:9">
      <c r="A4" s="2" t="s">
        <v>274</v>
      </c>
      <c r="B4" s="2" t="s">
        <v>27</v>
      </c>
      <c r="C4" s="2"/>
      <c r="D4" s="2"/>
      <c r="E4" s="3">
        <v>0</v>
      </c>
      <c r="F4" s="3">
        <v>0</v>
      </c>
      <c r="G4" s="2" t="s">
        <v>273</v>
      </c>
      <c r="H4" s="2"/>
      <c r="I4" s="2"/>
    </row>
    <row r="5" spans="1:9">
      <c r="A5" s="2" t="s">
        <v>246</v>
      </c>
      <c r="B5" s="2" t="s">
        <v>177</v>
      </c>
      <c r="C5" s="2" t="s">
        <v>247</v>
      </c>
      <c r="D5" s="2"/>
      <c r="E5" s="3">
        <v>0</v>
      </c>
      <c r="F5" s="3">
        <v>0</v>
      </c>
      <c r="G5" s="2" t="s">
        <v>273</v>
      </c>
      <c r="H5" s="2"/>
      <c r="I5" s="2" t="s">
        <v>249</v>
      </c>
    </row>
    <row r="6" spans="1:9">
      <c r="A6" s="2" t="s">
        <v>275</v>
      </c>
      <c r="B6" s="2" t="s">
        <v>27</v>
      </c>
      <c r="C6" s="2"/>
      <c r="D6" s="2"/>
      <c r="E6" s="3">
        <v>0</v>
      </c>
      <c r="F6" s="3">
        <v>0</v>
      </c>
      <c r="G6" s="2" t="s">
        <v>273</v>
      </c>
      <c r="H6" s="2"/>
      <c r="I6" s="2"/>
    </row>
    <row r="7" spans="1:9">
      <c r="A7" s="2" t="s">
        <v>276</v>
      </c>
      <c r="B7" s="2" t="s">
        <v>27</v>
      </c>
      <c r="C7" s="2"/>
      <c r="D7" s="2"/>
      <c r="E7" s="3">
        <v>0</v>
      </c>
      <c r="F7" s="3">
        <v>0</v>
      </c>
      <c r="G7" s="2" t="s">
        <v>273</v>
      </c>
      <c r="H7" s="2"/>
      <c r="I7" s="2"/>
    </row>
    <row r="8" spans="1:9">
      <c r="A8" s="2" t="s">
        <v>277</v>
      </c>
      <c r="B8" s="2" t="s">
        <v>27</v>
      </c>
      <c r="C8" s="2"/>
      <c r="D8" s="2"/>
      <c r="E8" s="3">
        <v>0</v>
      </c>
      <c r="F8" s="3">
        <v>0</v>
      </c>
      <c r="G8" s="2" t="s">
        <v>273</v>
      </c>
      <c r="H8" s="2"/>
      <c r="I8" s="2"/>
    </row>
    <row r="9" spans="1:9">
      <c r="A9" s="2" t="s">
        <v>278</v>
      </c>
      <c r="B9" s="2" t="s">
        <v>27</v>
      </c>
      <c r="C9" s="2"/>
      <c r="D9" s="2"/>
      <c r="E9" s="3">
        <v>0</v>
      </c>
      <c r="F9" s="3">
        <v>0</v>
      </c>
      <c r="G9" s="2" t="s">
        <v>181</v>
      </c>
      <c r="H9" s="2"/>
      <c r="I9" s="2"/>
    </row>
    <row r="10" spans="1:9">
      <c r="A10" s="2" t="s">
        <v>279</v>
      </c>
      <c r="B10" s="2" t="s">
        <v>27</v>
      </c>
      <c r="C10" s="2"/>
      <c r="D10" s="2"/>
      <c r="E10" s="3">
        <v>0</v>
      </c>
      <c r="F10" s="3">
        <v>0</v>
      </c>
      <c r="G10" s="2" t="s">
        <v>196</v>
      </c>
      <c r="H10" s="2"/>
      <c r="I10" s="2" t="s">
        <v>280</v>
      </c>
    </row>
    <row r="11" spans="1:9">
      <c r="A11" s="2" t="s">
        <v>281</v>
      </c>
      <c r="B11" s="2" t="s">
        <v>27</v>
      </c>
      <c r="C11" s="2"/>
      <c r="D11" s="2"/>
      <c r="E11" s="3">
        <v>0</v>
      </c>
      <c r="F11" s="3">
        <v>0</v>
      </c>
      <c r="G11" s="2" t="s">
        <v>181</v>
      </c>
      <c r="H11" s="2"/>
      <c r="I11" s="2"/>
    </row>
    <row r="12" spans="1:9">
      <c r="A12" s="2" t="s">
        <v>282</v>
      </c>
      <c r="B12" s="2" t="s">
        <v>27</v>
      </c>
      <c r="C12" s="2"/>
      <c r="D12" s="2"/>
      <c r="E12" s="3">
        <v>0</v>
      </c>
      <c r="F12" s="3">
        <v>0</v>
      </c>
      <c r="G12" s="2" t="s">
        <v>187</v>
      </c>
      <c r="H12" s="2"/>
      <c r="I12" s="2"/>
    </row>
    <row r="13" spans="1:9">
      <c r="A13" s="2" t="s">
        <v>283</v>
      </c>
      <c r="B13" s="2" t="s">
        <v>27</v>
      </c>
      <c r="C13" s="2"/>
      <c r="D13" s="2"/>
      <c r="E13" s="3">
        <v>0</v>
      </c>
      <c r="F13" s="3">
        <v>0</v>
      </c>
      <c r="G13" s="2" t="s">
        <v>175</v>
      </c>
      <c r="H13" s="2"/>
      <c r="I13" s="2"/>
    </row>
    <row r="14" spans="1:9">
      <c r="A14" s="2" t="s">
        <v>284</v>
      </c>
      <c r="B14" s="2" t="s">
        <v>27</v>
      </c>
      <c r="C14" s="2"/>
      <c r="D14" s="2"/>
      <c r="E14" s="3">
        <v>0</v>
      </c>
      <c r="F14" s="3">
        <v>0</v>
      </c>
      <c r="G14" s="2" t="s">
        <v>270</v>
      </c>
      <c r="H14" s="2"/>
      <c r="I14" s="2" t="s">
        <v>271</v>
      </c>
    </row>
    <row r="15" spans="1:9">
      <c r="A15" s="2" t="s">
        <v>285</v>
      </c>
      <c r="B15" s="2" t="s">
        <v>27</v>
      </c>
      <c r="C15" s="2"/>
      <c r="D15" s="2"/>
      <c r="E15" s="3">
        <v>0</v>
      </c>
      <c r="F15" s="3">
        <v>0</v>
      </c>
      <c r="G15" s="2" t="s">
        <v>181</v>
      </c>
      <c r="H15" s="2"/>
      <c r="I15" s="2"/>
    </row>
    <row r="16" spans="1:9">
      <c r="A16" s="2" t="s">
        <v>286</v>
      </c>
      <c r="B16" s="2" t="s">
        <v>27</v>
      </c>
      <c r="C16" s="2"/>
      <c r="D16" s="2"/>
      <c r="E16" s="3">
        <v>0</v>
      </c>
      <c r="F16" s="3">
        <v>0</v>
      </c>
      <c r="G16" s="2" t="s">
        <v>181</v>
      </c>
      <c r="H16" s="2"/>
      <c r="I16" s="2"/>
    </row>
    <row r="17" spans="1:9">
      <c r="A17" s="2" t="s">
        <v>287</v>
      </c>
      <c r="B17" s="2" t="s">
        <v>27</v>
      </c>
      <c r="C17" s="2"/>
      <c r="D17" s="2"/>
      <c r="E17" s="3">
        <v>0</v>
      </c>
      <c r="F17" s="3">
        <v>0</v>
      </c>
      <c r="G17" s="2" t="s">
        <v>187</v>
      </c>
      <c r="H17" s="2"/>
      <c r="I17" s="2"/>
    </row>
    <row r="18" spans="1:9">
      <c r="A18" s="2" t="s">
        <v>288</v>
      </c>
      <c r="B18" s="2" t="s">
        <v>27</v>
      </c>
      <c r="C18" s="2"/>
      <c r="D18" s="2"/>
      <c r="E18" s="3">
        <v>0</v>
      </c>
      <c r="F18" s="3">
        <v>0</v>
      </c>
      <c r="G18" s="2" t="s">
        <v>270</v>
      </c>
      <c r="H18" s="2"/>
      <c r="I18" s="2" t="s">
        <v>271</v>
      </c>
    </row>
    <row r="19" spans="1:9">
      <c r="A19" s="2" t="s">
        <v>289</v>
      </c>
      <c r="B19" s="2" t="s">
        <v>27</v>
      </c>
      <c r="C19" s="2"/>
      <c r="D19" s="2"/>
      <c r="E19" s="3">
        <v>0</v>
      </c>
      <c r="F19" s="3">
        <v>0</v>
      </c>
      <c r="G19" s="2" t="s">
        <v>270</v>
      </c>
      <c r="H19" s="2"/>
      <c r="I19" s="2" t="s">
        <v>271</v>
      </c>
    </row>
    <row r="20" spans="1:9">
      <c r="A20" s="2" t="s">
        <v>290</v>
      </c>
      <c r="B20" s="2" t="s">
        <v>27</v>
      </c>
      <c r="C20" s="2"/>
      <c r="D20" s="2"/>
      <c r="E20" s="3">
        <v>0</v>
      </c>
      <c r="F20" s="3">
        <v>0</v>
      </c>
      <c r="G20" s="2" t="s">
        <v>270</v>
      </c>
      <c r="H20" s="2"/>
      <c r="I20" s="2" t="s">
        <v>271</v>
      </c>
    </row>
    <row r="21" spans="1:9">
      <c r="A21" s="2" t="s">
        <v>291</v>
      </c>
      <c r="B21" s="2" t="s">
        <v>27</v>
      </c>
      <c r="C21" s="2"/>
      <c r="D21" s="2"/>
      <c r="E21" s="3">
        <v>0</v>
      </c>
      <c r="F21" s="3">
        <v>0</v>
      </c>
      <c r="G21" s="2" t="s">
        <v>292</v>
      </c>
      <c r="H21" s="2"/>
      <c r="I21" s="2" t="s">
        <v>293</v>
      </c>
    </row>
    <row r="22" spans="1:9">
      <c r="A22" s="2" t="s">
        <v>294</v>
      </c>
      <c r="B22" s="2" t="s">
        <v>27</v>
      </c>
      <c r="C22" s="2"/>
      <c r="D22" s="2"/>
      <c r="E22" s="3">
        <v>0</v>
      </c>
      <c r="F22" s="3">
        <v>0</v>
      </c>
      <c r="G22" s="2" t="s">
        <v>270</v>
      </c>
      <c r="H22" s="2"/>
      <c r="I22" s="2" t="s">
        <v>271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F11"/>
  <sheetViews>
    <sheetView workbookViewId="0">
      <pane ySplit="1" topLeftCell="A2" activePane="bottomLeft" state="frozen"/>
      <selection pane="bottomLeft"/>
    </sheetView>
  </sheetViews>
  <sheetFormatPr defaultRowHeight="15"/>
  <cols>
    <col min="1" max="1" width="32.7109375" customWidth="1"/>
    <col min="2" max="2" width="62.7109375" customWidth="1"/>
    <col min="3" max="3" width="50.7109375" customWidth="1"/>
    <col min="4" max="4" width="14.7109375" customWidth="1"/>
    <col min="5" max="5" width="34.7109375" customWidth="1"/>
    <col min="6" max="6" width="58.7109375" customWidth="1"/>
  </cols>
  <sheetData>
    <row r="1" spans="1:6">
      <c r="A1" s="1" t="s">
        <v>1</v>
      </c>
      <c r="B1" s="1" t="s">
        <v>5</v>
      </c>
      <c r="C1" s="1" t="s">
        <v>12</v>
      </c>
      <c r="D1" s="1" t="s">
        <v>295</v>
      </c>
      <c r="E1" s="1" t="s">
        <v>296</v>
      </c>
      <c r="F1" s="1" t="s">
        <v>297</v>
      </c>
    </row>
    <row r="2" spans="1:6">
      <c r="A2" s="2" t="s">
        <v>15</v>
      </c>
      <c r="B2" s="2" t="s">
        <v>19</v>
      </c>
      <c r="C2" s="2" t="s">
        <v>25</v>
      </c>
      <c r="D2" s="2" t="s">
        <v>26</v>
      </c>
      <c r="E2" s="2" t="s">
        <v>20</v>
      </c>
      <c r="F2" s="2" t="s">
        <v>298</v>
      </c>
    </row>
    <row r="3" spans="1:6">
      <c r="A3" s="2" t="s">
        <v>28</v>
      </c>
      <c r="B3" s="2" t="s">
        <v>30</v>
      </c>
      <c r="C3" s="2" t="s">
        <v>36</v>
      </c>
      <c r="D3" s="2" t="s">
        <v>26</v>
      </c>
      <c r="E3" s="2" t="s">
        <v>31</v>
      </c>
      <c r="F3" s="2" t="s">
        <v>298</v>
      </c>
    </row>
    <row r="4" spans="1:6">
      <c r="A4" s="2" t="s">
        <v>37</v>
      </c>
      <c r="B4" s="2" t="s">
        <v>40</v>
      </c>
      <c r="C4" s="2" t="s">
        <v>46</v>
      </c>
      <c r="D4" s="2" t="s">
        <v>26</v>
      </c>
      <c r="E4" s="2" t="s">
        <v>41</v>
      </c>
      <c r="F4" s="2" t="s">
        <v>298</v>
      </c>
    </row>
    <row r="5" spans="1:6">
      <c r="A5" s="2" t="s">
        <v>47</v>
      </c>
      <c r="B5" s="2" t="s">
        <v>50</v>
      </c>
      <c r="C5" s="2" t="s">
        <v>56</v>
      </c>
      <c r="D5" s="2" t="s">
        <v>26</v>
      </c>
      <c r="E5" s="2" t="s">
        <v>51</v>
      </c>
      <c r="F5" s="2" t="s">
        <v>298</v>
      </c>
    </row>
    <row r="6" spans="1:6">
      <c r="A6" s="2" t="s">
        <v>57</v>
      </c>
      <c r="B6" s="2" t="s">
        <v>59</v>
      </c>
      <c r="C6" s="2" t="s">
        <v>65</v>
      </c>
      <c r="D6" s="2" t="s">
        <v>26</v>
      </c>
      <c r="E6" s="2" t="s">
        <v>60</v>
      </c>
      <c r="F6" s="2" t="s">
        <v>298</v>
      </c>
    </row>
    <row r="7" spans="1:6">
      <c r="A7" s="2" t="s">
        <v>66</v>
      </c>
      <c r="B7" s="2" t="s">
        <v>69</v>
      </c>
      <c r="C7" s="2" t="s">
        <v>75</v>
      </c>
      <c r="D7" s="2" t="s">
        <v>26</v>
      </c>
      <c r="E7" s="2" t="s">
        <v>70</v>
      </c>
      <c r="F7" s="2" t="s">
        <v>298</v>
      </c>
    </row>
    <row r="8" spans="1:6">
      <c r="A8" s="2" t="s">
        <v>76</v>
      </c>
      <c r="B8" s="2" t="s">
        <v>79</v>
      </c>
      <c r="C8" s="2" t="s">
        <v>85</v>
      </c>
      <c r="D8" s="2" t="s">
        <v>26</v>
      </c>
      <c r="E8" s="2" t="s">
        <v>80</v>
      </c>
      <c r="F8" s="2" t="s">
        <v>298</v>
      </c>
    </row>
    <row r="9" spans="1:6">
      <c r="A9" s="2" t="s">
        <v>86</v>
      </c>
      <c r="B9" s="2" t="s">
        <v>88</v>
      </c>
      <c r="C9" s="2" t="s">
        <v>94</v>
      </c>
      <c r="D9" s="2" t="s">
        <v>26</v>
      </c>
      <c r="E9" s="2" t="s">
        <v>89</v>
      </c>
      <c r="F9" s="2" t="s">
        <v>298</v>
      </c>
    </row>
    <row r="10" spans="1:6">
      <c r="A10" s="2" t="s">
        <v>95</v>
      </c>
      <c r="B10" s="2" t="s">
        <v>97</v>
      </c>
      <c r="C10" s="2" t="s">
        <v>103</v>
      </c>
      <c r="D10" s="2" t="s">
        <v>26</v>
      </c>
      <c r="E10" s="2" t="s">
        <v>98</v>
      </c>
      <c r="F10" s="2" t="s">
        <v>298</v>
      </c>
    </row>
    <row r="11" spans="1:6">
      <c r="A11" s="2" t="s">
        <v>104</v>
      </c>
      <c r="B11" s="2" t="s">
        <v>107</v>
      </c>
      <c r="C11" s="2" t="s">
        <v>113</v>
      </c>
      <c r="D11" s="2" t="s">
        <v>26</v>
      </c>
      <c r="E11" s="2" t="s">
        <v>108</v>
      </c>
      <c r="F11" s="2" t="s">
        <v>298</v>
      </c>
    </row>
  </sheetData>
  <hyperlinks>
    <hyperlink ref="C2" r:id="rId1"/>
    <hyperlink ref="C3" r:id="rId2"/>
    <hyperlink ref="C4" r:id="rId3"/>
    <hyperlink ref="C5" r:id="rId4"/>
    <hyperlink ref="C6" r:id="rId5"/>
    <hyperlink ref="C7" r:id="rId6"/>
    <hyperlink ref="C8" r:id="rId7"/>
    <hyperlink ref="C9" r:id="rId8"/>
    <hyperlink ref="C10" r:id="rId9"/>
    <hyperlink ref="C11" r:id="rId10"/>
  </hyperlink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F9"/>
  <sheetViews>
    <sheetView workbookViewId="0"/>
  </sheetViews>
  <sheetFormatPr defaultRowHeight="15"/>
  <cols>
    <col min="1" max="1" width="22.7109375" customWidth="1"/>
    <col min="2" max="2" width="14.7109375" customWidth="1"/>
    <col min="3" max="3" width="4.7109375" customWidth="1"/>
    <col min="4" max="4" width="24.7109375" customWidth="1"/>
    <col min="5" max="5" width="16.7109375" customWidth="1"/>
    <col min="6" max="6" width="48.7109375" customWidth="1"/>
  </cols>
  <sheetData>
    <row r="1" spans="1:6" ht="28" customHeight="1">
      <c r="A1" s="5" t="s">
        <v>299</v>
      </c>
      <c r="B1" s="5"/>
      <c r="C1" s="5"/>
      <c r="D1" s="5"/>
      <c r="E1" s="5"/>
      <c r="F1" s="5"/>
    </row>
    <row r="3" spans="1:6">
      <c r="A3" s="1" t="s">
        <v>300</v>
      </c>
      <c r="B3" s="1" t="s">
        <v>301</v>
      </c>
      <c r="C3" s="2"/>
      <c r="D3" s="1" t="s">
        <v>302</v>
      </c>
      <c r="E3" s="1" t="s">
        <v>301</v>
      </c>
      <c r="F3" s="1" t="s">
        <v>303</v>
      </c>
    </row>
    <row r="4" spans="1:6">
      <c r="A4" s="2" t="s">
        <v>27</v>
      </c>
      <c r="B4" s="2">
        <f>COUNTIF(Pipeline!J:J,"Contact Ready")</f>
        <v>0</v>
      </c>
      <c r="D4" s="2" t="s">
        <v>307</v>
      </c>
      <c r="E4" s="3">
        <f>SUM(Pipeline!R:R)</f>
        <v>0</v>
      </c>
      <c r="F4" s="2" t="s">
        <v>308</v>
      </c>
    </row>
    <row r="5" spans="1:6">
      <c r="A5" s="2" t="s">
        <v>177</v>
      </c>
      <c r="B5" s="2">
        <f>COUNTIF(Pipeline!J:J,"Contacted")</f>
        <v>0</v>
      </c>
      <c r="D5" s="2" t="s">
        <v>309</v>
      </c>
      <c r="E5" s="3">
        <f>SUM(Pipeline!K:K)</f>
        <v>0</v>
      </c>
      <c r="F5" s="2" t="s">
        <v>310</v>
      </c>
    </row>
    <row r="6" spans="1:6">
      <c r="A6" s="2" t="s">
        <v>304</v>
      </c>
      <c r="B6" s="2">
        <f>COUNTIF(Pipeline!J:J,"Replied")</f>
        <v>0</v>
      </c>
      <c r="D6" s="2" t="s">
        <v>311</v>
      </c>
      <c r="E6" s="3">
        <f>SUM(Pipeline!L:L)</f>
        <v>0</v>
      </c>
      <c r="F6" s="2" t="s">
        <v>312</v>
      </c>
    </row>
    <row r="7" spans="1:6">
      <c r="A7" s="2" t="s">
        <v>305</v>
      </c>
      <c r="B7" s="2">
        <f>COUNTIF(Pipeline!J:J,"Negotiating")</f>
        <v>0</v>
      </c>
      <c r="D7" s="2" t="s">
        <v>313</v>
      </c>
      <c r="E7" s="6">
        <f>IFERROR(COUNTIF(Pipeline!J:J,"Replied")/COUNTIF(Pipeline!D:D,"&lt;&gt;"),0)</f>
        <v>0</v>
      </c>
      <c r="F7" s="2" t="s">
        <v>314</v>
      </c>
    </row>
    <row r="8" spans="1:6">
      <c r="A8" s="2" t="s">
        <v>306</v>
      </c>
      <c r="B8" s="2">
        <f>COUNTIF(Pipeline!J:J,"Won/Paid")</f>
        <v>0</v>
      </c>
      <c r="D8" s="2" t="s">
        <v>315</v>
      </c>
      <c r="E8" s="6">
        <f>IFERROR(COUNTIF(Pipeline!J:J,"Won/Paid")/COUNTIF(Pipeline!D:D,"&lt;&gt;"),0)</f>
        <v>0</v>
      </c>
      <c r="F8" s="2" t="s">
        <v>316</v>
      </c>
    </row>
    <row r="9" spans="1:6">
      <c r="A9" s="2" t="s">
        <v>165</v>
      </c>
      <c r="B9" s="2">
        <f>COUNTIF(Pipeline!J:J,"Fulfilled")</f>
        <v>0</v>
      </c>
    </row>
  </sheetData>
  <mergeCells count="1">
    <mergeCell ref="A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B12"/>
  <sheetViews>
    <sheetView workbookViewId="0"/>
  </sheetViews>
  <sheetFormatPr defaultRowHeight="15"/>
  <cols>
    <col min="1" max="1" width="28.7109375" customWidth="1"/>
    <col min="2" max="2" width="100.7109375" customWidth="1"/>
  </cols>
  <sheetData>
    <row r="1" spans="1:2">
      <c r="A1" s="1" t="s">
        <v>317</v>
      </c>
      <c r="B1" s="1" t="s">
        <v>318</v>
      </c>
    </row>
    <row r="2" spans="1:2">
      <c r="A2" s="2" t="s">
        <v>319</v>
      </c>
      <c r="B2" s="2" t="s">
        <v>320</v>
      </c>
    </row>
    <row r="3" spans="1:2">
      <c r="A3" s="2" t="s">
        <v>321</v>
      </c>
      <c r="B3" s="2" t="s">
        <v>322</v>
      </c>
    </row>
    <row r="4" spans="1:2">
      <c r="A4" s="2" t="s">
        <v>323</v>
      </c>
      <c r="B4" s="2" t="s">
        <v>324</v>
      </c>
    </row>
    <row r="5" spans="1:2">
      <c r="A5" s="2" t="s">
        <v>325</v>
      </c>
      <c r="B5" s="2" t="s">
        <v>326</v>
      </c>
    </row>
    <row r="6" spans="1:2">
      <c r="A6" s="2" t="s">
        <v>327</v>
      </c>
      <c r="B6" s="2" t="s">
        <v>328</v>
      </c>
    </row>
    <row r="7" spans="1:2">
      <c r="A7" s="2" t="s">
        <v>329</v>
      </c>
      <c r="B7" s="2" t="s">
        <v>330</v>
      </c>
    </row>
    <row r="8" spans="1:2">
      <c r="A8" s="2" t="s">
        <v>331</v>
      </c>
      <c r="B8" s="2" t="s">
        <v>332</v>
      </c>
    </row>
    <row r="9" spans="1:2">
      <c r="A9" s="2" t="s">
        <v>333</v>
      </c>
      <c r="B9" s="2" t="s">
        <v>334</v>
      </c>
    </row>
    <row r="10" spans="1:2">
      <c r="A10" s="2" t="s">
        <v>172</v>
      </c>
      <c r="B10" s="2" t="s">
        <v>335</v>
      </c>
    </row>
    <row r="11" spans="1:2">
      <c r="A11" s="2" t="s">
        <v>336</v>
      </c>
      <c r="B11" s="2" t="s">
        <v>337</v>
      </c>
    </row>
    <row r="12" spans="1:2">
      <c r="A12" s="2" t="s">
        <v>338</v>
      </c>
      <c r="B12" s="2" t="s">
        <v>339</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E2"/>
  <sheetViews>
    <sheetView workbookViewId="0"/>
  </sheetViews>
  <sheetFormatPr defaultRowHeight="15"/>
  <cols>
    <col min="1" max="4" width="20.7109375" customWidth="1"/>
    <col min="5" max="5" width="90.7109375" customWidth="1"/>
  </cols>
  <sheetData>
    <row r="1" spans="1:5">
      <c r="A1" s="1" t="s">
        <v>340</v>
      </c>
      <c r="B1" s="1" t="s">
        <v>341</v>
      </c>
      <c r="C1" s="1" t="s">
        <v>342</v>
      </c>
      <c r="D1" s="1" t="s">
        <v>343</v>
      </c>
      <c r="E1" s="1" t="s">
        <v>344</v>
      </c>
    </row>
    <row r="2" spans="1:5">
      <c r="A2" s="2" t="s">
        <v>26</v>
      </c>
      <c r="B2" s="2">
        <v>10</v>
      </c>
      <c r="C2" s="2">
        <v>26</v>
      </c>
      <c r="D2" s="2">
        <v>21</v>
      </c>
      <c r="E2" s="2" t="s">
        <v>345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New Lead Queue</vt:lpstr>
      <vt:lpstr>Scripts</vt:lpstr>
      <vt:lpstr>Pipeline</vt:lpstr>
      <vt:lpstr>Actual Outreach History</vt:lpstr>
      <vt:lpstr>Archived Leads</vt:lpstr>
      <vt:lpstr>Sources</vt:lpstr>
      <vt:lpstr>Dashboard</vt:lpstr>
      <vt:lpstr>Update Rules</vt:lpstr>
      <vt:lpstr>Refresh Log</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Same-Day Customer Growth Pack — Live CRM</dc:title>
  <dc:subject>Verified prospecting CRM</dc:subject>
  <dc:creator>Founder OS</dc:creator>
  <cp:lastModifiedBy>Founder OS</cp:lastModifiedBy>
  <dcterms:created xsi:type="dcterms:W3CDTF">2026-09-19T15:49:24Z</dcterms:created>
  <dcterms:modified xsi:type="dcterms:W3CDTF">2026-09-19T15:49:24Z</dcterms:modified>
</cp:coreProperties>
</file>