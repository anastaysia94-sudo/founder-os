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ew Lead Queue" sheetId="1" r:id="rId1"/>
    <sheet name="Scripts" sheetId="2" r:id="rId2"/>
    <sheet name="Pipeline" sheetId="3" r:id="rId3"/>
    <sheet name="Actual Outreach History" sheetId="4" r:id="rId4"/>
    <sheet name="Archived Leads" sheetId="5" r:id="rId5"/>
    <sheet name="Sources" sheetId="6" r:id="rId6"/>
    <sheet name="Dashboard" sheetId="7" r:id="rId7"/>
    <sheet name="Update Rules" sheetId="8" r:id="rId8"/>
    <sheet name="Refresh Log" sheetId="9" r:id="rId9"/>
  </sheets>
  <definedNames>
    <definedName name="_xlnm._FilterDatabase" localSheetId="0" hidden="1">'New Lead Queue'!$A$1:$O$11</definedName>
    <definedName name="_xlnm._FilterDatabase" localSheetId="2" hidden="1">Pipeline!$A$1:$R$26</definedName>
  </definedNames>
  <calcPr calcId="124519" fullCalcOnLoad="1"/>
</workbook>
</file>

<file path=xl/sharedStrings.xml><?xml version="1.0" encoding="utf-8"?>
<sst xmlns="http://schemas.openxmlformats.org/spreadsheetml/2006/main" count="664" uniqueCount="321">
  <si>
    <t>Rank</t>
  </si>
  <si>
    <t>Business</t>
  </si>
  <si>
    <t>Category</t>
  </si>
  <si>
    <t>City</t>
  </si>
  <si>
    <t>Tier</t>
  </si>
  <si>
    <t>Verified Opportunity</t>
  </si>
  <si>
    <t>Phone</t>
  </si>
  <si>
    <t>Email</t>
  </si>
  <si>
    <t>Reachability</t>
  </si>
  <si>
    <t>Angle</t>
  </si>
  <si>
    <t>Subject</t>
  </si>
  <si>
    <t>Individualized Initial Pitch</t>
  </si>
  <si>
    <t>Source URL</t>
  </si>
  <si>
    <t>Verified</t>
  </si>
  <si>
    <t>Status</t>
  </si>
  <si>
    <t>HB Design &amp; Construction</t>
  </si>
  <si>
    <t>Design-Build / Remodeling / ADU</t>
  </si>
  <si>
    <t>San Jose / South Bay, CA</t>
  </si>
  <si>
    <t>A</t>
  </si>
  <si>
    <t>Official contact page offers a free on-site consultation, written estimate and usually same-day email reply, creating an unusually fast response path for high-value remodeling inquiries.</t>
  </si>
  <si>
    <t>hello.hbdesignconstruction@gmail.com</t>
  </si>
  <si>
    <t>Direct email; usually same-day reply; free consultation</t>
  </si>
  <si>
    <t>Turn the free consultation and written-estimate process into a pre-consultation content funnel that helps homeowners arrive with project scope, priorities and decision questions ready.</t>
  </si>
  <si>
    <t>Pre-consultation remodeling campaign idea for HB Design</t>
  </si>
  <si>
    <t>Hi — I reviewed HB Design &amp; Construction’s current consultation process and noticed you already offer a free on-site consultation, written estimate and usually same-day email reply. I’d turn that into a customer-ready pre-consultation campaign that helps homeowners organize scope, priorities and questions before you arrive. The $150 Same-Day Customer Growth Pack can include social/Google posts, FAQs, inquiry follow-ups and estimate-ready messaging built around your actual services. Want two HB-specific examples first?</t>
  </si>
  <si>
    <t>https://hbdesignconstruction.com/contact</t>
  </si>
  <si>
    <t>2026-09-18</t>
  </si>
  <si>
    <t>Contact Ready</t>
  </si>
  <si>
    <t>QualiBuild LLC</t>
  </si>
  <si>
    <t>Kitchen / Bathroom / ADU Remodeling</t>
  </si>
  <si>
    <t>Sunnyvale / San Jose / Bay Area, CA</t>
  </si>
  <si>
    <t>Official site was crawled four days ago and offers free estimates, owner-direct service, on-site visits usually within 1–2 days, written estimates and photo/video-based project scoping.</t>
  </si>
  <si>
    <t>info@qualibuildca.com</t>
  </si>
  <si>
    <t>Direct email; owners directly involved; on-site visits usually within 1–2 days</t>
  </si>
  <si>
    <t>Turn the existing send-us-photos/video intake into a visual project-readiness campaign that pre-qualifies kitchen, bath and ADU prospects before the visit.</t>
  </si>
  <si>
    <t>Photo-to-estimate campaign idea for QualiBuild</t>
  </si>
  <si>
    <t>Hi — I reviewed QualiBuild’s current project intake and noticed you already invite homeowners to send photos, video and rough dimensions before an on-site visit. I’d turn that into a simple visual project-readiness campaign with scope-prep posts, FAQs, inquiry follow-ups and estimate CTAs for kitchen, bath and ADU prospects. Same-Day Customer Growth Pack: $150 flat. Want two QualiBuild-specific examples first?</t>
  </si>
  <si>
    <t>https://qualibuildca.com/</t>
  </si>
  <si>
    <t>Redwood Roofing</t>
  </si>
  <si>
    <t>Roof Repair / Replacement / Inspection</t>
  </si>
  <si>
    <t>Los Gatos / San Jose / Santa Cruz, CA</t>
  </si>
  <si>
    <t>Official contact page crawled six days ago publishes a direct email, free estimates and a same-day callback promise, or next business day after hours.</t>
  </si>
  <si>
    <t>contact@redwoodroofing.com</t>
  </si>
  <si>
    <t>Direct email; same-day/next-business-day response; free estimate</t>
  </si>
  <si>
    <t>Turn fast estimate response plus inspection expertise into an urgency-without-pressure roof decision campaign.</t>
  </si>
  <si>
    <t>Same-day roof-response campaign idea for Redwood Roofing</t>
  </si>
  <si>
    <t>Hi — I reviewed Redwood Roofing’s current estimate page and noticed you already give homeowners something valuable during a stressful roof decision: a free estimate with same-day or next-business-day response. I’d turn that into an urgency-without-pressure campaign covering inspection, repair-vs-replacement questions, inquiry follow-ups and estimate CTAs. Same-Day Customer Growth Pack: $150 flat. Want two Redwood-specific examples first?</t>
  </si>
  <si>
    <t>https://redwoodroofing.com/contact-us/</t>
  </si>
  <si>
    <t>Premier Roofing &amp; Retro-Fit</t>
  </si>
  <si>
    <t>Roofing / Retro-Fit</t>
  </si>
  <si>
    <t>Santa Clara / South Bay, CA</t>
  </si>
  <si>
    <t>Official contact page advertises a free same-day roofing quote, publishes a direct email and maintains weekday and Saturday business hours.</t>
  </si>
  <si>
    <t>Info@premierroofingretrofit.com</t>
  </si>
  <si>
    <t>Direct email; free same-day quote; Saturday hours</t>
  </si>
  <si>
    <t>Build a same-day-quote campaign that tells homeowners exactly what to send before requesting a quote and reduces friction around urgent roof decisions.</t>
  </si>
  <si>
    <t>Same-day quote campaign for Premier Roofing</t>
  </si>
  <si>
    <t>Hi — I reviewed Premier Roofing &amp; Retro-Fit’s current Santa Clara contact page and noticed you already promote a free same-day roofing quote. I’d turn that speed promise into a customer-ready campaign showing homeowners what information to send, what to expect next and how to compare repair versus replacement. Same-Day Customer Growth Pack: $150 flat. Want two Premier-specific examples first?</t>
  </si>
  <si>
    <t>https://premierroofingretrofit.com/contact-us/</t>
  </si>
  <si>
    <t>Make It Simple Construction, Inc.</t>
  </si>
  <si>
    <t>Full Home / Kitchen / Bathroom Remodeling</t>
  </si>
  <si>
    <t>San Jose / Bay Area, CA</t>
  </si>
  <si>
    <t>Official contact page publishes a direct named email, free estimates and positioning around guidance, no hidden costs and family ownership.</t>
  </si>
  <si>
    <t>jasmin@makeitsimpleinc.com</t>
  </si>
  <si>
    <t>Direct named email; free estimate</t>
  </si>
  <si>
    <t>Turn the simplicity/no-hidden-cost positioning into a remodeling decision guide that reduces uncertainty before the estimate.</t>
  </si>
  <si>
    <t>Make-the-remodel-simple campaign idea</t>
  </si>
  <si>
    <t>Hi — I reviewed Make It Simple Construction’s current contact page and the strongest marketing angle is already in your name: helping homeowners understand what their remodel actually needs without hidden-cost anxiety. I’d turn that into planning posts, scope FAQs, inquiry follow-ups and estimate-ready messaging for kitchens, bathrooms and full-home projects. Same-Day Customer Growth Pack: $150 flat. Want two company-specific examples first?</t>
  </si>
  <si>
    <t>https://makeitsimpleinc.com/contact/</t>
  </si>
  <si>
    <t>BLUECON</t>
  </si>
  <si>
    <t>Remodeling / ADU / Commercial Renovation</t>
  </si>
  <si>
    <t>Official site crawled two days ago publishes a direct project email, San Jose office, free-estimate CTA and remodeling, ADU and commercial-renovation positioning.</t>
  </si>
  <si>
    <t>build@blue-con.org</t>
  </si>
  <si>
    <t>Direct project email; free estimate; San Jose office</t>
  </si>
  <si>
    <t>Turn the broad remodel/ADU/commercial portfolio into a choose-your-project-path campaign that routes prospects to the right estimate conversation.</t>
  </si>
  <si>
    <t>Project-path campaign idea for BLUECON</t>
  </si>
  <si>
    <t>Hi — I reviewed BLUECON’s current San Jose site and noticed you span home remodeling, ADUs and commercial renovation. I’d turn that breadth into a simple project-path campaign that helps prospects identify their project type, prepare the right details and move toward a free estimate. Same-Day Customer Growth Pack: $150 flat. Want two BLUECON-specific examples first?</t>
  </si>
  <si>
    <t>https://blueconbuilders.net/</t>
  </si>
  <si>
    <t>Blues Bros</t>
  </si>
  <si>
    <t>San Jose, CA</t>
  </si>
  <si>
    <t>Official contact page publishes a direct email, financing availability, free in-home estimates and a stated response target within 24 hours.</t>
  </si>
  <si>
    <t>info@bluesbros.com</t>
  </si>
  <si>
    <t>Direct email; free estimate; stated response within 24 hours</t>
  </si>
  <si>
    <t>Turn the 24-hour estimate response plus financing availability into a remodel-readiness campaign addressing scope, budget questions and next steps before the consultation.</t>
  </si>
  <si>
    <t>24-hour remodel-response campaign idea for Blues Bros</t>
  </si>
  <si>
    <t>Hi — I reviewed Blues Bros’ current San Jose contact page and noticed you combine free in-home estimates, a stated 24-hour response target and financing availability. I’d turn that into a remodel-readiness campaign covering scope questions, consultation prep, financing FAQs and estimate follow-ups. Same-Day Customer Growth Pack: $150 flat. Want two Blues Bros-specific examples first?</t>
  </si>
  <si>
    <t>https://bluesbros.com/contact/</t>
  </si>
  <si>
    <t>Home Quality Remodeling</t>
  </si>
  <si>
    <t>Home Remodeling</t>
  </si>
  <si>
    <t>Official contact page publishes a direct San Jose email and a free on-site estimate intake that asks project type, financing interest and accepts plans or drawings.</t>
  </si>
  <si>
    <t>inquiry@hqrpro.com</t>
  </si>
  <si>
    <t>Direct email; San Jose office; free on-site estimate</t>
  </si>
  <si>
    <t>Turn the existing estimate intake into a project-file-prep campaign that encourages prospects to submit plans, inspiration and financing questions before the visit.</t>
  </si>
  <si>
    <t>Project-file prep campaign for HQR</t>
  </si>
  <si>
    <t>Hi — I reviewed HQR’s current San Jose estimate flow and noticed you already ask homeowners for project type, financing interest and even plans or drawings. I’d turn that into a project-file-prep campaign that helps prospects arrive with better information before the on-site estimate. Same-Day Customer Growth Pack: $150 flat. Want two HQR-specific examples first?</t>
  </si>
  <si>
    <t>https://www.homequalityremodeling.com/contact</t>
  </si>
  <si>
    <t>Imperia Roofing &amp; Exteriors</t>
  </si>
  <si>
    <t>Roofing / Siding / Stucco / Windows / Exterior Renovation</t>
  </si>
  <si>
    <t>Santa Clara / Bay Area, CA</t>
  </si>
  <si>
    <t>Recent official Santa Clara pages publish a direct email, free-estimate CTA and a broad roofing/exteriors mix including siding, stucco, painting and windows.</t>
  </si>
  <si>
    <t>info@imperiare.com</t>
  </si>
  <si>
    <t>Direct email; Santa Clara office; free estimate</t>
  </si>
  <si>
    <t>Create an exterior-project selector campaign that helps property owners distinguish roof-only needs from broader siding, stucco, painting or window work before requesting an estimate.</t>
  </si>
  <si>
    <t>Exterior project-selector campaign for Imperia</t>
  </si>
  <si>
    <t>Hi — I reviewed Imperia’s current Santa Clara pages and noticed you cover far more than roofing: siding, stucco, painting and windows as well. I’d turn that into an exterior project-selector campaign that helps homeowners identify the right scope before requesting a free estimate, with FAQs and follow-up copy for cross-service opportunities. Same-Day Customer Growth Pack: $150 flat. Want two Imperia-specific examples first?</t>
  </si>
  <si>
    <t>https://imperiare.com/tpo/santa-clara/</t>
  </si>
  <si>
    <t>Silicon Valley Chimney Sweep</t>
  </si>
  <si>
    <t>Chimney Inspection / Cleaning / Repair</t>
  </si>
  <si>
    <t>Official contact page crawled last week publishes a direct email, same-day replies, same-day appointments before noon, free written estimates and photo-based evaluation.</t>
  </si>
  <si>
    <t>info@svchimneysweep.com</t>
  </si>
  <si>
    <t>Direct email; same-day reply; photo intake; free written estimate</t>
  </si>
  <si>
    <t>Turn send-us-a-photo plus same-day response into a visual chimney triage campaign that helps homeowners understand whether they need cleaning, inspection or repair.</t>
  </si>
  <si>
    <t>Photo-first chimney campaign idea</t>
  </si>
  <si>
    <t>Hi — I reviewed Silicon Valley Chimney Sweep’s current contact flow and noticed a strong customer-friendly combination: homeowners can email photos, receive a same-day reply and request a free written estimate. I’d turn that into a photo-first chimney triage campaign with symptom posts, FAQs, inquiry follow-ups and estimate CTAs. Same-Day Customer Growth Pack: $150 flat. Want two company-specific examples first?</t>
  </si>
  <si>
    <t>https://svchimneysweep.com/contact-us/</t>
  </si>
  <si>
    <t>Script ID</t>
  </si>
  <si>
    <t>Stage</t>
  </si>
  <si>
    <t>When to Use</t>
  </si>
  <si>
    <t>Copy</t>
  </si>
  <si>
    <t>S01</t>
  </si>
  <si>
    <t>Initial framework</t>
  </si>
  <si>
    <t>First contact</t>
  </si>
  <si>
    <t>Subject: 2 ideas for [BUSINESS]’s [VERIFIED OPPORTUNITY]
Hi — I was researching [CATEGORY] businesses and noticed [ONE VERIFIED FACT].
I think there’s a specific customer-growth opportunity around: “[BUSINESS-SPECIFIC ANGLE]”
I can turn that into ready-to-use Google/social posts, customer follow-ups, genuine review-request copy, FAQs, one promotional email and a 30-day use calendar.
Same-Day Customer Growth Pack: $150 flat, no subscription.
I already drafted two [BUSINESS]-specific examples. Want me to send them?</t>
  </si>
  <si>
    <t>S02</t>
  </si>
  <si>
    <t>Follow-up 1</t>
  </si>
  <si>
    <t>1–2 business days after no reply</t>
  </si>
  <si>
    <t>Hi — following up on the idea I sent for [BUSINESS]. If the full package isn’t useful yet, I can send the two business-specific samples first so you can judge the quality before deciding. No obligation.</t>
  </si>
  <si>
    <t>S03</t>
  </si>
  <si>
    <t>Follow-up 2</t>
  </si>
  <si>
    <t>Final cold follow-up</t>
  </si>
  <si>
    <t>Last note from me — I’ll close the loop unless you’d like the two [BUSINESS]-specific examples. If you’d rather not receive future outreach, just reply “no thanks” and I’ll suppress the contact.</t>
  </si>
  <si>
    <t>S04</t>
  </si>
  <si>
    <t>Yes / send samples</t>
  </si>
  <si>
    <t>Prospect asks to see examples</t>
  </si>
  <si>
    <t>Absolutely — here are the two samples. If the direction fits, I can complete the full Same-Day Customer Growth Pack: customized campaign angle, Google/social posts, FAQs, customer/estimate follow-ups, genuine review-request copy, one promotional email, CTA variants and a 30-day use calendar. Starter pack: $150 flat, no subscription.</t>
  </si>
  <si>
    <t>S05</t>
  </si>
  <si>
    <t>Price</t>
  </si>
  <si>
    <t>Prospect asks price</t>
  </si>
  <si>
    <t>The starter pack is $150 flat with no subscription. It includes the customized campaign angle, ready-to-publish posts, customer/estimate follow-ups, genuine review-request copy, FAQs, one promotional email, CTA variants and a 30-day use calendar. I don’t guarantee a specific number of leads or revenue; the deliverable is the completed business-specific marketing and follow-up system.</t>
  </si>
  <si>
    <t>S06</t>
  </si>
  <si>
    <t>Not now</t>
  </si>
  <si>
    <t>Prospect defers</t>
  </si>
  <si>
    <t>No problem. I’ll leave it here and won’t keep following up. If [VERIFIED OPPORTUNITY] becomes a priority later, you can reply to this thread and I can pick it back up.</t>
  </si>
  <si>
    <t>S07</t>
  </si>
  <si>
    <t>Already have marketing</t>
  </si>
  <si>
    <t>Existing agency/provider objection</t>
  </si>
  <si>
    <t>Makes sense. I’m not trying to replace your agency or existing marketing. This is a small fixed-scope pack built around one current offer/service opportunity — useful as an extra campaign, follow-up sequence, or customer-education asset. If that’s not useful, no problem and I’ll close the loop.</t>
  </si>
  <si>
    <t>S08</t>
  </si>
  <si>
    <t>Guarantee?</t>
  </si>
  <si>
    <t>Prospect asks for guaranteed results</t>
  </si>
  <si>
    <t>No — I don’t guarantee leads, rankings, bookings or revenue. What I can guarantee is the agreed deliverable: a completed, customized pack based on your approved facts and offer, with no fabricated testimonials or performance claims.</t>
  </si>
  <si>
    <t>S09</t>
  </si>
  <si>
    <t>Close</t>
  </si>
  <si>
    <t>Prospect is ready to buy</t>
  </si>
  <si>
    <t>Great — I’ll send the short intake first so I use only your approved service details, contact information and offer terms. Once payment is confirmed, I’ll complete the agreed pack and send the finished copy in one handoff.</t>
  </si>
  <si>
    <t>Lead</t>
  </si>
  <si>
    <t>Priority</t>
  </si>
  <si>
    <t>Channel</t>
  </si>
  <si>
    <t>First Touch</t>
  </si>
  <si>
    <t>FU1 Due</t>
  </si>
  <si>
    <t>FU1 Sent</t>
  </si>
  <si>
    <t>FU2 Due</t>
  </si>
  <si>
    <t>FU2 Sent</t>
  </si>
  <si>
    <t>Reply</t>
  </si>
  <si>
    <t>Quoted $</t>
  </si>
  <si>
    <t>Paid $</t>
  </si>
  <si>
    <t>Fulfilled</t>
  </si>
  <si>
    <t>Next Action</t>
  </si>
  <si>
    <t>Opt Out</t>
  </si>
  <si>
    <t>Last Verified</t>
  </si>
  <si>
    <t>Source</t>
  </si>
  <si>
    <t>Offer Value $</t>
  </si>
  <si>
    <t>FloodDry Water Damage Restoration</t>
  </si>
  <si>
    <t>Follow-up</t>
  </si>
  <si>
    <t>email</t>
  </si>
  <si>
    <t>2026-09-05T22:50:24-07:00</t>
  </si>
  <si>
    <t>2026-09-08</t>
  </si>
  <si>
    <t>2026-09-08T16:45:47-07:00</t>
  </si>
  <si>
    <t>Contacted</t>
  </si>
  <si>
    <t>Two verified outbound emails, no inbound reply found through 2026-09-12. Do not send another cold touch now.</t>
  </si>
  <si>
    <t>Therma Tech</t>
  </si>
  <si>
    <t>2026-09-05T20:01:38-07:00</t>
  </si>
  <si>
    <t>2026-09-07</t>
  </si>
  <si>
    <t>2026-09-07T13:35:02-07:00</t>
  </si>
  <si>
    <t>2026-09-07T14:19:35-07:00</t>
  </si>
  <si>
    <t>Three verified outbound emails across two connected Gmail accounts; no inbound reply found through 2026-09-12. Stop cold follow-up unless they reply.</t>
  </si>
  <si>
    <t>Dansel Restoration</t>
  </si>
  <si>
    <t>2026-09-05T22:49:58-07:00</t>
  </si>
  <si>
    <t>2026-09-09</t>
  </si>
  <si>
    <t>One verified outbound email; no inbound reply found through 2026-09-12. One final respectful follow-up is permissible, then stop unless they reply.</t>
  </si>
  <si>
    <t>California First Roofing</t>
  </si>
  <si>
    <t>2026-09-05T22:39:21-07:00</t>
  </si>
  <si>
    <t>US Creative Restoration</t>
  </si>
  <si>
    <t>2026-09-05T22:53:01-07:00</t>
  </si>
  <si>
    <t>One verified outbound email; no reply found through 2026-09-12. Eligible for at most one respectful follow-up.</t>
  </si>
  <si>
    <t>WJM Builders</t>
  </si>
  <si>
    <t>2026-09-06T03:30:53-07:00</t>
  </si>
  <si>
    <t>2026-09-10</t>
  </si>
  <si>
    <t>Clean Roofing</t>
  </si>
  <si>
    <t>2026-09-06T03:42:04-07:00</t>
  </si>
  <si>
    <t>Solar Energy Consultants</t>
  </si>
  <si>
    <t>2026-09-06T03:25:44-07:00</t>
  </si>
  <si>
    <t>Mayer's Construction</t>
  </si>
  <si>
    <t>2026-09-06T03:31:58-07:00</t>
  </si>
  <si>
    <t>EVS Mechanical</t>
  </si>
  <si>
    <t>2026-09-06T03:32:27-07:00</t>
  </si>
  <si>
    <t>Dueling Trowels Concrete Solutions</t>
  </si>
  <si>
    <t>2026-09-05T22:39:44-07:00</t>
  </si>
  <si>
    <t>2026-09-06T03:20:39-07:00</t>
  </si>
  <si>
    <t>Two verified outbound emails; no reply found through 2026-09-12. Do not send another cold touch now.</t>
  </si>
  <si>
    <t>GBD Concrete</t>
  </si>
  <si>
    <t>2026-09-05T22:54:30-07:00</t>
  </si>
  <si>
    <t>John Molina Concrete</t>
  </si>
  <si>
    <t>2026-09-05T22:46:13-07:00</t>
  </si>
  <si>
    <t>Precision Concrete Inc</t>
  </si>
  <si>
    <t>2026-09-05T22:40:53-07:00</t>
  </si>
  <si>
    <t>One Day Complete Repipe</t>
  </si>
  <si>
    <t>2026-09-05T22:35:59-07:00</t>
  </si>
  <si>
    <t>First Touch Evidence</t>
  </si>
  <si>
    <t>FU1 Evidence</t>
  </si>
  <si>
    <t>FU2 Evidence</t>
  </si>
  <si>
    <t>Gmail sent message 1a074aa18c4a15e5</t>
  </si>
  <si>
    <t>Gmail sent message 1a07d94dc355abc7</t>
  </si>
  <si>
    <t>Gmail sent message 1a07dbda8027b039</t>
  </si>
  <si>
    <t>Gmail sent message 1a07537695be159d</t>
  </si>
  <si>
    <t>Gmail sent message 1a0753a7d53e5a5c</t>
  </si>
  <si>
    <t>Gmail sent message 1a0753ad793984cf</t>
  </si>
  <si>
    <t>Gmail sent message 1a0763c06f9e9dc5</t>
  </si>
  <si>
    <t>Gmail sent message 1a0753be59b49989</t>
  </si>
  <si>
    <t>Gmail sent message 1a07540c8b9fd4bc</t>
  </si>
  <si>
    <t>Gmail sent message 1a075443349aa830</t>
  </si>
  <si>
    <t>Gmail sent message 1a075449a2403271</t>
  </si>
  <si>
    <t>Gmail sent message 1a08369d9f6b09c0</t>
  </si>
  <si>
    <t>Gmail sent message 1a0754701539a56d</t>
  </si>
  <si>
    <t>Gmail sent message 1a075485ca2a3fef</t>
  </si>
  <si>
    <t>Precision Heating &amp; Cooling</t>
  </si>
  <si>
    <t>2026-09-06T01:37:52-07:00</t>
  </si>
  <si>
    <t>Gmail sent message 1a075ddee6716e8a</t>
  </si>
  <si>
    <t>Historical send discovered during Sep 12 audit; no reply found in connected Gmail search.</t>
  </si>
  <si>
    <t>Gmail sent message 1a07640ae5a69379</t>
  </si>
  <si>
    <t>Gmail sent message 1a076456505c6304</t>
  </si>
  <si>
    <t>Gmail sent message 1a0764664a2b1202</t>
  </si>
  <si>
    <t>Gmail sent message 1a07646d6dbd3474</t>
  </si>
  <si>
    <t>Gmail sent message 1a0764fa024df1f4</t>
  </si>
  <si>
    <t>Archived</t>
  </si>
  <si>
    <t>Leader Restoration</t>
  </si>
  <si>
    <t>2026-09-12</t>
  </si>
  <si>
    <t>Rotated out of fresh queue 2026-09-12; no outreach found in connected Gmail checks.</t>
  </si>
  <si>
    <t>CostLess Heating &amp; Cooling</t>
  </si>
  <si>
    <t>2026-09-06</t>
  </si>
  <si>
    <t>Los Gatos Roofing</t>
  </si>
  <si>
    <t>Roofs By Reveille, Inc</t>
  </si>
  <si>
    <t>A1 Restoration</t>
  </si>
  <si>
    <t>911 Restoration of San Jose</t>
  </si>
  <si>
    <t>Any Hour Water and Fire</t>
  </si>
  <si>
    <t>IRBIS Air Plumbing Electrical</t>
  </si>
  <si>
    <t>Use official web/phone route; no direct email re-verified 2026-09-09.</t>
  </si>
  <si>
    <t>California Water and Fire</t>
  </si>
  <si>
    <t>Infinium Solar, Roofing and Electric</t>
  </si>
  <si>
    <t>Lifetime Roofing &amp; Renovation, Inc.</t>
  </si>
  <si>
    <t>ROOF EXPRESS</t>
  </si>
  <si>
    <t>South Bay Roofing CO</t>
  </si>
  <si>
    <t>Eastman Roofing &amp; Waterproofing, Inc.</t>
  </si>
  <si>
    <t>The Roofer Bros</t>
  </si>
  <si>
    <t>Roof By Tom</t>
  </si>
  <si>
    <t>FairPrice Heating &amp; Cooling</t>
  </si>
  <si>
    <t>Galaxy Heating &amp; Air Conditioning</t>
  </si>
  <si>
    <t>Air &amp; Plumbing Systems</t>
  </si>
  <si>
    <t>2026-09-11</t>
  </si>
  <si>
    <t>Archived from active Top 10 on 2026-09-11; no outreach recorded.</t>
  </si>
  <si>
    <t>Top Tier Roofing</t>
  </si>
  <si>
    <t>Verified Date</t>
  </si>
  <si>
    <t>Direct Contact</t>
  </si>
  <si>
    <t>Reverify Rule</t>
  </si>
  <si>
    <t>Reverify time-sensitive offers, hours, financing, ETA, response-time claims, and contact details before outreach.</t>
  </si>
  <si>
    <t>SAME-DAY CUSTOMER GROWTH PACK — LIVE PIPELINE</t>
  </si>
  <si>
    <t>Metric</t>
  </si>
  <si>
    <t>Value</t>
  </si>
  <si>
    <t>Commercial Metric</t>
  </si>
  <si>
    <t>Meaning</t>
  </si>
  <si>
    <t>Replied</t>
  </si>
  <si>
    <t>Negotiating</t>
  </si>
  <si>
    <t>Won/Paid</t>
  </si>
  <si>
    <t>Nominal Offer Value</t>
  </si>
  <si>
    <t>Potential at the standard package price; not booked revenue.</t>
  </si>
  <si>
    <t>Actual Quoted $</t>
  </si>
  <si>
    <t>Only real negotiated/quoted dollars.</t>
  </si>
  <si>
    <t>Paid Revenue</t>
  </si>
  <si>
    <t>Only actual payments.</t>
  </si>
  <si>
    <t>Response Rate</t>
  </si>
  <si>
    <t>Replies divided by records with a real first touch.</t>
  </si>
  <si>
    <t>Close Rate</t>
  </si>
  <si>
    <t>Wins divided by records with a real first touch.</t>
  </si>
  <si>
    <t>Rule</t>
  </si>
  <si>
    <t>Requirement</t>
  </si>
  <si>
    <t>Canonical lead feed</t>
  </si>
  <si>
    <t>sales-engine-app/data/leads.json</t>
  </si>
  <si>
    <t>Canonical pipeline history</t>
  </si>
  <si>
    <t>sales-engine/pipeline-history.json</t>
  </si>
  <si>
    <t>Canonical workbook</t>
  </si>
  <si>
    <t>sales-engine/Same-Day-Customer-Growth-Pack-Live-CRM.xlsx</t>
  </si>
  <si>
    <t>Fresh means fresh</t>
  </si>
  <si>
    <t>Before a prospect enters New Lead Queue, verify it and check connected Gmail history for prior contact.</t>
  </si>
  <si>
    <t>Evidence</t>
  </si>
  <si>
    <t>Every current lead requires a current source URL and dated evidence-based opportunity.</t>
  </si>
  <si>
    <t>Contacts</t>
  </si>
  <si>
    <t>Never invent email, phone, person, role, offer, or contact detail.</t>
  </si>
  <si>
    <t>Pipeline truth</t>
  </si>
  <si>
    <t>Never mark contact, reply, quote, payment, customer, revenue, or fulfillment unless it actually occurred.</t>
  </si>
  <si>
    <t>Offer value</t>
  </si>
  <si>
    <t>The standard package price is potential value, not quoted pipeline or revenue.</t>
  </si>
  <si>
    <t>Initial cold contact + max two respectful cold follow-ups; stop sooner on decline/opt-out and avoid duplicate account touches.</t>
  </si>
  <si>
    <t>Claims</t>
  </si>
  <si>
    <t>No guaranteed leads, ROI, rankings, bookings, response rates, or revenue.</t>
  </si>
  <si>
    <t>Workbook generation</t>
  </si>
  <si>
    <t>GitHub Actions regenerates this XLSX from the live feed + truth-preserving pipeline history.</t>
  </si>
  <si>
    <t>Refresh Date</t>
  </si>
  <si>
    <t>Fresh Leads</t>
  </si>
  <si>
    <t>Observed Contact Records</t>
  </si>
  <si>
    <t>Archived Records</t>
  </si>
  <si>
    <t>Notes</t>
  </si>
  <si>
    <t>Generated from the verified lead feed and preserved pipeline history. Unobserved outcomes remain zero/blank.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</si>
</sst>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1182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/>
    </xf>
    <xf numFmtId="0" fontId="1" fillId="3" borderId="1" xfId="0" applyFont="1" applyFill="1" applyBorder="1" applyAlignment="1">
      <alignment wrapText="1"/>
    </xf>
    <xf numFmtId="0" fontId="2" fillId="4" borderId="0" xfId="0" applyFont="1" applyFill="1" applyAlignment="1">
      <alignment horizontal="center" vertical="center"/>
    </xf>
    <xf numFmtId="165" fontId="0" fillId="0" borderId="2" xfId="0" applyNumberFormat="1" applyBorder="1"/>
  </cellXfs>
  <cellStyles count="1">
    <cellStyle name="Normal" xfId="0" builtinId="0"/>
  </cellStyles>
  <dxfs count="2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hbdesignconstruction.com/contact" TargetMode="External"/><Relationship Id="rId2" Type="http://schemas.openxmlformats.org/officeDocument/2006/relationships/hyperlink" Target="https://qualibuildca.com/" TargetMode="External"/><Relationship Id="rId3" Type="http://schemas.openxmlformats.org/officeDocument/2006/relationships/hyperlink" Target="https://redwoodroofing.com/contact-us/" TargetMode="External"/><Relationship Id="rId4" Type="http://schemas.openxmlformats.org/officeDocument/2006/relationships/hyperlink" Target="https://premierroofingretrofit.com/contact-us/" TargetMode="External"/><Relationship Id="rId5" Type="http://schemas.openxmlformats.org/officeDocument/2006/relationships/hyperlink" Target="https://makeitsimpleinc.com/contact/" TargetMode="External"/><Relationship Id="rId6" Type="http://schemas.openxmlformats.org/officeDocument/2006/relationships/hyperlink" Target="https://blueconbuilders.net/" TargetMode="External"/><Relationship Id="rId7" Type="http://schemas.openxmlformats.org/officeDocument/2006/relationships/hyperlink" Target="https://bluesbros.com/contact/" TargetMode="External"/><Relationship Id="rId8" Type="http://schemas.openxmlformats.org/officeDocument/2006/relationships/hyperlink" Target="https://www.homequalityremodeling.com/contact" TargetMode="External"/><Relationship Id="rId9" Type="http://schemas.openxmlformats.org/officeDocument/2006/relationships/hyperlink" Target="https://imperiare.com/tpo/santa-clara/" TargetMode="External"/><Relationship Id="rId10" Type="http://schemas.openxmlformats.org/officeDocument/2006/relationships/hyperlink" Target="https://svchimneysweep.com/contact-us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hbdesignconstruction.com/contact" TargetMode="External"/><Relationship Id="rId2" Type="http://schemas.openxmlformats.org/officeDocument/2006/relationships/hyperlink" Target="https://qualibuildca.com/" TargetMode="External"/><Relationship Id="rId3" Type="http://schemas.openxmlformats.org/officeDocument/2006/relationships/hyperlink" Target="https://redwoodroofing.com/contact-us/" TargetMode="External"/><Relationship Id="rId4" Type="http://schemas.openxmlformats.org/officeDocument/2006/relationships/hyperlink" Target="https://premierroofingretrofit.com/contact-us/" TargetMode="External"/><Relationship Id="rId5" Type="http://schemas.openxmlformats.org/officeDocument/2006/relationships/hyperlink" Target="https://makeitsimpleinc.com/contact/" TargetMode="External"/><Relationship Id="rId6" Type="http://schemas.openxmlformats.org/officeDocument/2006/relationships/hyperlink" Target="https://blueconbuilders.net/" TargetMode="External"/><Relationship Id="rId7" Type="http://schemas.openxmlformats.org/officeDocument/2006/relationships/hyperlink" Target="https://bluesbros.com/contact/" TargetMode="External"/><Relationship Id="rId8" Type="http://schemas.openxmlformats.org/officeDocument/2006/relationships/hyperlink" Target="https://www.homequalityremodeling.com/contact" TargetMode="External"/><Relationship Id="rId9" Type="http://schemas.openxmlformats.org/officeDocument/2006/relationships/hyperlink" Target="https://imperiare.com/tpo/santa-clara/" TargetMode="External"/><Relationship Id="rId10" Type="http://schemas.openxmlformats.org/officeDocument/2006/relationships/hyperlink" Target="https://svchimneysweep.com/contact-us/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hbdesignconstruction.com/contact" TargetMode="External"/><Relationship Id="rId2" Type="http://schemas.openxmlformats.org/officeDocument/2006/relationships/hyperlink" Target="https://qualibuildca.com/" TargetMode="External"/><Relationship Id="rId3" Type="http://schemas.openxmlformats.org/officeDocument/2006/relationships/hyperlink" Target="https://redwoodroofing.com/contact-us/" TargetMode="External"/><Relationship Id="rId4" Type="http://schemas.openxmlformats.org/officeDocument/2006/relationships/hyperlink" Target="https://premierroofingretrofit.com/contact-us/" TargetMode="External"/><Relationship Id="rId5" Type="http://schemas.openxmlformats.org/officeDocument/2006/relationships/hyperlink" Target="https://makeitsimpleinc.com/contact/" TargetMode="External"/><Relationship Id="rId6" Type="http://schemas.openxmlformats.org/officeDocument/2006/relationships/hyperlink" Target="https://blueconbuilders.net/" TargetMode="External"/><Relationship Id="rId7" Type="http://schemas.openxmlformats.org/officeDocument/2006/relationships/hyperlink" Target="https://bluesbros.com/contact/" TargetMode="External"/><Relationship Id="rId8" Type="http://schemas.openxmlformats.org/officeDocument/2006/relationships/hyperlink" Target="https://www.homequalityremodeling.com/contact" TargetMode="External"/><Relationship Id="rId9" Type="http://schemas.openxmlformats.org/officeDocument/2006/relationships/hyperlink" Target="https://imperiare.com/tpo/santa-clara/" TargetMode="External"/><Relationship Id="rId10" Type="http://schemas.openxmlformats.org/officeDocument/2006/relationships/hyperlink" Target="https://svchimneysweep.com/contact-u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32.7109375" customWidth="1"/>
    <col min="3" max="3" width="26.7109375" customWidth="1"/>
    <col min="4" max="4" width="22.7109375" customWidth="1"/>
    <col min="5" max="5" width="8.7109375" customWidth="1"/>
    <col min="6" max="6" width="54.7109375" customWidth="1"/>
    <col min="7" max="7" width="18.7109375" customWidth="1"/>
    <col min="8" max="8" width="34.7109375" customWidth="1"/>
    <col min="9" max="9" width="30.7109375" customWidth="1"/>
    <col min="10" max="10" width="48.7109375" customWidth="1"/>
    <col min="11" max="11" width="38.7109375" customWidth="1"/>
    <col min="12" max="12" width="72.7109375" customWidth="1"/>
    <col min="13" max="13" width="50.7109375" customWidth="1"/>
    <col min="14" max="14" width="14.7109375" customWidth="1"/>
    <col min="15" max="15" width="18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s="2">
        <v>1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/>
      <c r="H2" s="2" t="s">
        <v>20</v>
      </c>
      <c r="I2" s="2" t="s">
        <v>21</v>
      </c>
      <c r="J2" s="2" t="s">
        <v>22</v>
      </c>
      <c r="K2" s="2" t="s">
        <v>23</v>
      </c>
      <c r="L2" s="2" t="s">
        <v>24</v>
      </c>
      <c r="M2" s="2" t="s">
        <v>25</v>
      </c>
      <c r="N2" s="2" t="s">
        <v>26</v>
      </c>
      <c r="O2" s="2" t="s">
        <v>27</v>
      </c>
    </row>
    <row r="3" spans="1:15">
      <c r="A3" s="2">
        <v>2</v>
      </c>
      <c r="B3" s="2" t="s">
        <v>28</v>
      </c>
      <c r="C3" s="2" t="s">
        <v>29</v>
      </c>
      <c r="D3" s="2" t="s">
        <v>30</v>
      </c>
      <c r="E3" s="2" t="s">
        <v>18</v>
      </c>
      <c r="F3" s="2" t="s">
        <v>31</v>
      </c>
      <c r="G3" s="2"/>
      <c r="H3" s="2" t="s">
        <v>32</v>
      </c>
      <c r="I3" s="2" t="s">
        <v>33</v>
      </c>
      <c r="J3" s="2" t="s">
        <v>34</v>
      </c>
      <c r="K3" s="2" t="s">
        <v>35</v>
      </c>
      <c r="L3" s="2" t="s">
        <v>36</v>
      </c>
      <c r="M3" s="2" t="s">
        <v>37</v>
      </c>
      <c r="N3" s="2" t="s">
        <v>26</v>
      </c>
      <c r="O3" s="2" t="s">
        <v>27</v>
      </c>
    </row>
    <row r="4" spans="1:15">
      <c r="A4" s="2">
        <v>3</v>
      </c>
      <c r="B4" s="2" t="s">
        <v>38</v>
      </c>
      <c r="C4" s="2" t="s">
        <v>39</v>
      </c>
      <c r="D4" s="2" t="s">
        <v>40</v>
      </c>
      <c r="E4" s="2" t="s">
        <v>18</v>
      </c>
      <c r="F4" s="2" t="s">
        <v>41</v>
      </c>
      <c r="G4" s="2"/>
      <c r="H4" s="2" t="s">
        <v>42</v>
      </c>
      <c r="I4" s="2" t="s">
        <v>43</v>
      </c>
      <c r="J4" s="2" t="s">
        <v>44</v>
      </c>
      <c r="K4" s="2" t="s">
        <v>45</v>
      </c>
      <c r="L4" s="2" t="s">
        <v>46</v>
      </c>
      <c r="M4" s="2" t="s">
        <v>47</v>
      </c>
      <c r="N4" s="2" t="s">
        <v>26</v>
      </c>
      <c r="O4" s="2" t="s">
        <v>27</v>
      </c>
    </row>
    <row r="5" spans="1:15">
      <c r="A5" s="2">
        <v>4</v>
      </c>
      <c r="B5" s="2" t="s">
        <v>48</v>
      </c>
      <c r="C5" s="2" t="s">
        <v>49</v>
      </c>
      <c r="D5" s="2" t="s">
        <v>50</v>
      </c>
      <c r="E5" s="2" t="s">
        <v>18</v>
      </c>
      <c r="F5" s="2" t="s">
        <v>51</v>
      </c>
      <c r="G5" s="2"/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57</v>
      </c>
      <c r="N5" s="2" t="s">
        <v>26</v>
      </c>
      <c r="O5" s="2" t="s">
        <v>27</v>
      </c>
    </row>
    <row r="6" spans="1:15">
      <c r="A6" s="2">
        <v>5</v>
      </c>
      <c r="B6" s="2" t="s">
        <v>58</v>
      </c>
      <c r="C6" s="2" t="s">
        <v>59</v>
      </c>
      <c r="D6" s="2" t="s">
        <v>60</v>
      </c>
      <c r="E6" s="2" t="s">
        <v>18</v>
      </c>
      <c r="F6" s="2" t="s">
        <v>61</v>
      </c>
      <c r="G6" s="2"/>
      <c r="H6" s="2" t="s">
        <v>62</v>
      </c>
      <c r="I6" s="2" t="s">
        <v>63</v>
      </c>
      <c r="J6" s="2" t="s">
        <v>64</v>
      </c>
      <c r="K6" s="2" t="s">
        <v>65</v>
      </c>
      <c r="L6" s="2" t="s">
        <v>66</v>
      </c>
      <c r="M6" s="2" t="s">
        <v>67</v>
      </c>
      <c r="N6" s="2" t="s">
        <v>26</v>
      </c>
      <c r="O6" s="2" t="s">
        <v>27</v>
      </c>
    </row>
    <row r="7" spans="1:15">
      <c r="A7" s="2">
        <v>6</v>
      </c>
      <c r="B7" s="2" t="s">
        <v>68</v>
      </c>
      <c r="C7" s="2" t="s">
        <v>69</v>
      </c>
      <c r="D7" s="2" t="s">
        <v>60</v>
      </c>
      <c r="E7" s="2" t="s">
        <v>18</v>
      </c>
      <c r="F7" s="2" t="s">
        <v>70</v>
      </c>
      <c r="G7" s="2"/>
      <c r="H7" s="2" t="s">
        <v>71</v>
      </c>
      <c r="I7" s="2" t="s">
        <v>72</v>
      </c>
      <c r="J7" s="2" t="s">
        <v>73</v>
      </c>
      <c r="K7" s="2" t="s">
        <v>74</v>
      </c>
      <c r="L7" s="2" t="s">
        <v>75</v>
      </c>
      <c r="M7" s="2" t="s">
        <v>76</v>
      </c>
      <c r="N7" s="2" t="s">
        <v>26</v>
      </c>
      <c r="O7" s="2" t="s">
        <v>27</v>
      </c>
    </row>
    <row r="8" spans="1:15">
      <c r="A8" s="2">
        <v>7</v>
      </c>
      <c r="B8" s="2" t="s">
        <v>77</v>
      </c>
      <c r="C8" s="2" t="s">
        <v>29</v>
      </c>
      <c r="D8" s="2" t="s">
        <v>78</v>
      </c>
      <c r="E8" s="2" t="s">
        <v>18</v>
      </c>
      <c r="F8" s="2" t="s">
        <v>79</v>
      </c>
      <c r="G8" s="2"/>
      <c r="H8" s="2" t="s">
        <v>80</v>
      </c>
      <c r="I8" s="2" t="s">
        <v>81</v>
      </c>
      <c r="J8" s="2" t="s">
        <v>82</v>
      </c>
      <c r="K8" s="2" t="s">
        <v>83</v>
      </c>
      <c r="L8" s="2" t="s">
        <v>84</v>
      </c>
      <c r="M8" s="2" t="s">
        <v>85</v>
      </c>
      <c r="N8" s="2" t="s">
        <v>26</v>
      </c>
      <c r="O8" s="2" t="s">
        <v>27</v>
      </c>
    </row>
    <row r="9" spans="1:15">
      <c r="A9" s="2">
        <v>8</v>
      </c>
      <c r="B9" s="2" t="s">
        <v>86</v>
      </c>
      <c r="C9" s="2" t="s">
        <v>87</v>
      </c>
      <c r="D9" s="2" t="s">
        <v>60</v>
      </c>
      <c r="E9" s="2" t="s">
        <v>18</v>
      </c>
      <c r="F9" s="2" t="s">
        <v>88</v>
      </c>
      <c r="G9" s="2"/>
      <c r="H9" s="2" t="s">
        <v>89</v>
      </c>
      <c r="I9" s="2" t="s">
        <v>90</v>
      </c>
      <c r="J9" s="2" t="s">
        <v>91</v>
      </c>
      <c r="K9" s="2" t="s">
        <v>92</v>
      </c>
      <c r="L9" s="2" t="s">
        <v>93</v>
      </c>
      <c r="M9" s="2" t="s">
        <v>94</v>
      </c>
      <c r="N9" s="2" t="s">
        <v>26</v>
      </c>
      <c r="O9" s="2" t="s">
        <v>27</v>
      </c>
    </row>
    <row r="10" spans="1:15">
      <c r="A10" s="2">
        <v>9</v>
      </c>
      <c r="B10" s="2" t="s">
        <v>95</v>
      </c>
      <c r="C10" s="2" t="s">
        <v>96</v>
      </c>
      <c r="D10" s="2" t="s">
        <v>97</v>
      </c>
      <c r="E10" s="2" t="s">
        <v>18</v>
      </c>
      <c r="F10" s="2" t="s">
        <v>98</v>
      </c>
      <c r="G10" s="2"/>
      <c r="H10" s="2" t="s">
        <v>99</v>
      </c>
      <c r="I10" s="2" t="s">
        <v>100</v>
      </c>
      <c r="J10" s="2" t="s">
        <v>101</v>
      </c>
      <c r="K10" s="2" t="s">
        <v>102</v>
      </c>
      <c r="L10" s="2" t="s">
        <v>103</v>
      </c>
      <c r="M10" s="2" t="s">
        <v>104</v>
      </c>
      <c r="N10" s="2" t="s">
        <v>26</v>
      </c>
      <c r="O10" s="2" t="s">
        <v>27</v>
      </c>
    </row>
    <row r="11" spans="1:15">
      <c r="A11" s="2">
        <v>10</v>
      </c>
      <c r="B11" s="2" t="s">
        <v>105</v>
      </c>
      <c r="C11" s="2" t="s">
        <v>106</v>
      </c>
      <c r="D11" s="2" t="s">
        <v>17</v>
      </c>
      <c r="E11" s="2" t="s">
        <v>18</v>
      </c>
      <c r="F11" s="2" t="s">
        <v>107</v>
      </c>
      <c r="G11" s="2"/>
      <c r="H11" s="2" t="s">
        <v>108</v>
      </c>
      <c r="I11" s="2" t="s">
        <v>109</v>
      </c>
      <c r="J11" s="2" t="s">
        <v>110</v>
      </c>
      <c r="K11" s="2" t="s">
        <v>111</v>
      </c>
      <c r="L11" s="2" t="s">
        <v>112</v>
      </c>
      <c r="M11" s="2" t="s">
        <v>113</v>
      </c>
      <c r="N11" s="2" t="s">
        <v>26</v>
      </c>
      <c r="O11" s="2" t="s">
        <v>27</v>
      </c>
    </row>
  </sheetData>
  <autoFilter ref="A1:O11"/>
  <conditionalFormatting sqref="E2:E11">
    <cfRule type="containsText" dxfId="0" priority="1" operator="containsText" text="A">
      <formula>NOT(ISERROR(SEARCH("A",E2)))</formula>
    </cfRule>
  </conditionalFormatting>
  <hyperlinks>
    <hyperlink ref="M2" r:id="rId1"/>
    <hyperlink ref="M3" r:id="rId2"/>
    <hyperlink ref="M4" r:id="rId3"/>
    <hyperlink ref="M5" r:id="rId4"/>
    <hyperlink ref="M6" r:id="rId5"/>
    <hyperlink ref="M7" r:id="rId6"/>
    <hyperlink ref="M8" r:id="rId7"/>
    <hyperlink ref="M9" r:id="rId8"/>
    <hyperlink ref="M10" r:id="rId9"/>
    <hyperlink ref="M11" r:id="rId1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34.7109375" customWidth="1"/>
    <col min="4" max="4" width="92.7109375" customWidth="1"/>
  </cols>
  <sheetData>
    <row r="1" spans="1:4">
      <c r="A1" s="1" t="s">
        <v>114</v>
      </c>
      <c r="B1" s="1" t="s">
        <v>115</v>
      </c>
      <c r="C1" s="1" t="s">
        <v>116</v>
      </c>
      <c r="D1" s="1" t="s">
        <v>117</v>
      </c>
    </row>
    <row r="2" spans="1:4">
      <c r="A2" s="2" t="s">
        <v>118</v>
      </c>
      <c r="B2" s="2" t="s">
        <v>119</v>
      </c>
      <c r="C2" s="2" t="s">
        <v>120</v>
      </c>
      <c r="D2" s="2" t="s">
        <v>121</v>
      </c>
    </row>
    <row r="3" spans="1:4">
      <c r="A3" s="2" t="s">
        <v>122</v>
      </c>
      <c r="B3" s="2" t="s">
        <v>123</v>
      </c>
      <c r="C3" s="2" t="s">
        <v>124</v>
      </c>
      <c r="D3" s="2" t="s">
        <v>125</v>
      </c>
    </row>
    <row r="4" spans="1:4">
      <c r="A4" s="2" t="s">
        <v>126</v>
      </c>
      <c r="B4" s="2" t="s">
        <v>127</v>
      </c>
      <c r="C4" s="2" t="s">
        <v>128</v>
      </c>
      <c r="D4" s="2" t="s">
        <v>129</v>
      </c>
    </row>
    <row r="5" spans="1:4">
      <c r="A5" s="2" t="s">
        <v>130</v>
      </c>
      <c r="B5" s="2" t="s">
        <v>131</v>
      </c>
      <c r="C5" s="2" t="s">
        <v>132</v>
      </c>
      <c r="D5" s="2" t="s">
        <v>133</v>
      </c>
    </row>
    <row r="6" spans="1:4">
      <c r="A6" s="2" t="s">
        <v>134</v>
      </c>
      <c r="B6" s="2" t="s">
        <v>135</v>
      </c>
      <c r="C6" s="2" t="s">
        <v>136</v>
      </c>
      <c r="D6" s="2" t="s">
        <v>137</v>
      </c>
    </row>
    <row r="7" spans="1:4">
      <c r="A7" s="2" t="s">
        <v>138</v>
      </c>
      <c r="B7" s="2" t="s">
        <v>139</v>
      </c>
      <c r="C7" s="2" t="s">
        <v>140</v>
      </c>
      <c r="D7" s="2" t="s">
        <v>141</v>
      </c>
    </row>
    <row r="8" spans="1:4">
      <c r="A8" s="2" t="s">
        <v>142</v>
      </c>
      <c r="B8" s="2" t="s">
        <v>143</v>
      </c>
      <c r="C8" s="2" t="s">
        <v>144</v>
      </c>
      <c r="D8" s="2" t="s">
        <v>145</v>
      </c>
    </row>
    <row r="9" spans="1:4">
      <c r="A9" s="2" t="s">
        <v>146</v>
      </c>
      <c r="B9" s="2" t="s">
        <v>147</v>
      </c>
      <c r="C9" s="2" t="s">
        <v>148</v>
      </c>
      <c r="D9" s="2" t="s">
        <v>149</v>
      </c>
    </row>
    <row r="10" spans="1:4">
      <c r="A10" s="2" t="s">
        <v>150</v>
      </c>
      <c r="B10" s="2" t="s">
        <v>151</v>
      </c>
      <c r="C10" s="2" t="s">
        <v>152</v>
      </c>
      <c r="D10" s="2" t="s">
        <v>153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2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0.7109375" customWidth="1"/>
    <col min="3" max="3" width="34.7109375" customWidth="1"/>
    <col min="4" max="4" width="24.7109375" customWidth="1"/>
    <col min="5" max="5" width="14.7109375" customWidth="1"/>
    <col min="6" max="6" width="24.7109375" customWidth="1"/>
    <col min="7" max="7" width="14.7109375" customWidth="1"/>
    <col min="8" max="8" width="24.7109375" customWidth="1"/>
    <col min="9" max="9" width="38.7109375" customWidth="1"/>
    <col min="10" max="10" width="18.7109375" customWidth="1"/>
    <col min="11" max="12" width="12.7109375" customWidth="1"/>
    <col min="13" max="13" width="14.7109375" customWidth="1"/>
    <col min="14" max="14" width="58.7109375" customWidth="1"/>
    <col min="15" max="15" width="12.7109375" customWidth="1"/>
    <col min="16" max="16" width="14.7109375" customWidth="1"/>
    <col min="17" max="17" width="50.7109375" customWidth="1"/>
    <col min="18" max="18" width="14.7109375" customWidth="1"/>
  </cols>
  <sheetData>
    <row r="1" spans="1:18">
      <c r="A1" s="1" t="s">
        <v>154</v>
      </c>
      <c r="B1" s="1" t="s">
        <v>155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161</v>
      </c>
      <c r="I1" s="1" t="s">
        <v>162</v>
      </c>
      <c r="J1" s="1" t="s">
        <v>115</v>
      </c>
      <c r="K1" s="1" t="s">
        <v>163</v>
      </c>
      <c r="L1" s="1" t="s">
        <v>164</v>
      </c>
      <c r="M1" s="1" t="s">
        <v>165</v>
      </c>
      <c r="N1" s="1" t="s">
        <v>166</v>
      </c>
      <c r="O1" s="1" t="s">
        <v>167</v>
      </c>
      <c r="P1" s="1" t="s">
        <v>168</v>
      </c>
      <c r="Q1" s="1" t="s">
        <v>169</v>
      </c>
      <c r="R1" s="1" t="s">
        <v>170</v>
      </c>
    </row>
    <row r="2" spans="1:18">
      <c r="A2" s="2" t="s">
        <v>15</v>
      </c>
      <c r="B2" s="2">
        <v>1</v>
      </c>
      <c r="C2" s="2" t="s">
        <v>20</v>
      </c>
      <c r="D2" s="2"/>
      <c r="E2" s="2"/>
      <c r="F2" s="2"/>
      <c r="G2" s="2"/>
      <c r="H2" s="2"/>
      <c r="I2" s="2"/>
      <c r="J2" s="2" t="s">
        <v>27</v>
      </c>
      <c r="K2" s="3">
        <v>0</v>
      </c>
      <c r="L2" s="3">
        <v>0</v>
      </c>
      <c r="M2" s="2"/>
      <c r="N2" s="2"/>
      <c r="O2" s="2"/>
      <c r="P2" s="2" t="s">
        <v>26</v>
      </c>
      <c r="Q2" s="2" t="s">
        <v>25</v>
      </c>
      <c r="R2" s="3">
        <v>150</v>
      </c>
    </row>
    <row r="3" spans="1:18">
      <c r="A3" s="2" t="s">
        <v>28</v>
      </c>
      <c r="B3" s="2">
        <v>2</v>
      </c>
      <c r="C3" s="2" t="s">
        <v>32</v>
      </c>
      <c r="D3" s="2"/>
      <c r="E3" s="2"/>
      <c r="F3" s="2"/>
      <c r="G3" s="2"/>
      <c r="H3" s="2"/>
      <c r="I3" s="2"/>
      <c r="J3" s="2" t="s">
        <v>27</v>
      </c>
      <c r="K3" s="3">
        <v>0</v>
      </c>
      <c r="L3" s="3">
        <v>0</v>
      </c>
      <c r="M3" s="2"/>
      <c r="N3" s="2"/>
      <c r="O3" s="2"/>
      <c r="P3" s="2" t="s">
        <v>26</v>
      </c>
      <c r="Q3" s="2" t="s">
        <v>37</v>
      </c>
      <c r="R3" s="3">
        <v>150</v>
      </c>
    </row>
    <row r="4" spans="1:18">
      <c r="A4" s="2" t="s">
        <v>38</v>
      </c>
      <c r="B4" s="2">
        <v>3</v>
      </c>
      <c r="C4" s="2" t="s">
        <v>42</v>
      </c>
      <c r="D4" s="2"/>
      <c r="E4" s="2"/>
      <c r="F4" s="2"/>
      <c r="G4" s="2"/>
      <c r="H4" s="2"/>
      <c r="I4" s="2"/>
      <c r="J4" s="2" t="s">
        <v>27</v>
      </c>
      <c r="K4" s="3">
        <v>0</v>
      </c>
      <c r="L4" s="3">
        <v>0</v>
      </c>
      <c r="M4" s="2"/>
      <c r="N4" s="2"/>
      <c r="O4" s="2"/>
      <c r="P4" s="2" t="s">
        <v>26</v>
      </c>
      <c r="Q4" s="2" t="s">
        <v>47</v>
      </c>
      <c r="R4" s="3">
        <v>150</v>
      </c>
    </row>
    <row r="5" spans="1:18">
      <c r="A5" s="2" t="s">
        <v>48</v>
      </c>
      <c r="B5" s="2">
        <v>4</v>
      </c>
      <c r="C5" s="2" t="s">
        <v>52</v>
      </c>
      <c r="D5" s="2"/>
      <c r="E5" s="2"/>
      <c r="F5" s="2"/>
      <c r="G5" s="2"/>
      <c r="H5" s="2"/>
      <c r="I5" s="2"/>
      <c r="J5" s="2" t="s">
        <v>27</v>
      </c>
      <c r="K5" s="3">
        <v>0</v>
      </c>
      <c r="L5" s="3">
        <v>0</v>
      </c>
      <c r="M5" s="2"/>
      <c r="N5" s="2"/>
      <c r="O5" s="2"/>
      <c r="P5" s="2" t="s">
        <v>26</v>
      </c>
      <c r="Q5" s="2" t="s">
        <v>57</v>
      </c>
      <c r="R5" s="3">
        <v>150</v>
      </c>
    </row>
    <row r="6" spans="1:18">
      <c r="A6" s="2" t="s">
        <v>58</v>
      </c>
      <c r="B6" s="2">
        <v>5</v>
      </c>
      <c r="C6" s="2" t="s">
        <v>62</v>
      </c>
      <c r="D6" s="2"/>
      <c r="E6" s="2"/>
      <c r="F6" s="2"/>
      <c r="G6" s="2"/>
      <c r="H6" s="2"/>
      <c r="I6" s="2"/>
      <c r="J6" s="2" t="s">
        <v>27</v>
      </c>
      <c r="K6" s="3">
        <v>0</v>
      </c>
      <c r="L6" s="3">
        <v>0</v>
      </c>
      <c r="M6" s="2"/>
      <c r="N6" s="2"/>
      <c r="O6" s="2"/>
      <c r="P6" s="2" t="s">
        <v>26</v>
      </c>
      <c r="Q6" s="2" t="s">
        <v>67</v>
      </c>
      <c r="R6" s="3">
        <v>150</v>
      </c>
    </row>
    <row r="7" spans="1:18">
      <c r="A7" s="2" t="s">
        <v>68</v>
      </c>
      <c r="B7" s="2">
        <v>6</v>
      </c>
      <c r="C7" s="2" t="s">
        <v>71</v>
      </c>
      <c r="D7" s="2"/>
      <c r="E7" s="2"/>
      <c r="F7" s="2"/>
      <c r="G7" s="2"/>
      <c r="H7" s="2"/>
      <c r="I7" s="2"/>
      <c r="J7" s="2" t="s">
        <v>27</v>
      </c>
      <c r="K7" s="3">
        <v>0</v>
      </c>
      <c r="L7" s="3">
        <v>0</v>
      </c>
      <c r="M7" s="2"/>
      <c r="N7" s="2"/>
      <c r="O7" s="2"/>
      <c r="P7" s="2" t="s">
        <v>26</v>
      </c>
      <c r="Q7" s="2" t="s">
        <v>76</v>
      </c>
      <c r="R7" s="3">
        <v>150</v>
      </c>
    </row>
    <row r="8" spans="1:18">
      <c r="A8" s="2" t="s">
        <v>77</v>
      </c>
      <c r="B8" s="2">
        <v>7</v>
      </c>
      <c r="C8" s="2" t="s">
        <v>80</v>
      </c>
      <c r="D8" s="2"/>
      <c r="E8" s="2"/>
      <c r="F8" s="2"/>
      <c r="G8" s="2"/>
      <c r="H8" s="2"/>
      <c r="I8" s="2"/>
      <c r="J8" s="2" t="s">
        <v>27</v>
      </c>
      <c r="K8" s="3">
        <v>0</v>
      </c>
      <c r="L8" s="3">
        <v>0</v>
      </c>
      <c r="M8" s="2"/>
      <c r="N8" s="2"/>
      <c r="O8" s="2"/>
      <c r="P8" s="2" t="s">
        <v>26</v>
      </c>
      <c r="Q8" s="2" t="s">
        <v>85</v>
      </c>
      <c r="R8" s="3">
        <v>150</v>
      </c>
    </row>
    <row r="9" spans="1:18">
      <c r="A9" s="2" t="s">
        <v>86</v>
      </c>
      <c r="B9" s="2">
        <v>8</v>
      </c>
      <c r="C9" s="2" t="s">
        <v>89</v>
      </c>
      <c r="D9" s="2"/>
      <c r="E9" s="2"/>
      <c r="F9" s="2"/>
      <c r="G9" s="2"/>
      <c r="H9" s="2"/>
      <c r="I9" s="2"/>
      <c r="J9" s="2" t="s">
        <v>27</v>
      </c>
      <c r="K9" s="3">
        <v>0</v>
      </c>
      <c r="L9" s="3">
        <v>0</v>
      </c>
      <c r="M9" s="2"/>
      <c r="N9" s="2"/>
      <c r="O9" s="2"/>
      <c r="P9" s="2" t="s">
        <v>26</v>
      </c>
      <c r="Q9" s="2" t="s">
        <v>94</v>
      </c>
      <c r="R9" s="3">
        <v>150</v>
      </c>
    </row>
    <row r="10" spans="1:18">
      <c r="A10" s="2" t="s">
        <v>95</v>
      </c>
      <c r="B10" s="2">
        <v>9</v>
      </c>
      <c r="C10" s="2" t="s">
        <v>99</v>
      </c>
      <c r="D10" s="2"/>
      <c r="E10" s="2"/>
      <c r="F10" s="2"/>
      <c r="G10" s="2"/>
      <c r="H10" s="2"/>
      <c r="I10" s="2"/>
      <c r="J10" s="2" t="s">
        <v>27</v>
      </c>
      <c r="K10" s="3">
        <v>0</v>
      </c>
      <c r="L10" s="3">
        <v>0</v>
      </c>
      <c r="M10" s="2"/>
      <c r="N10" s="2"/>
      <c r="O10" s="2"/>
      <c r="P10" s="2" t="s">
        <v>26</v>
      </c>
      <c r="Q10" s="2" t="s">
        <v>104</v>
      </c>
      <c r="R10" s="3">
        <v>150</v>
      </c>
    </row>
    <row r="11" spans="1:18">
      <c r="A11" s="2" t="s">
        <v>105</v>
      </c>
      <c r="B11" s="2">
        <v>10</v>
      </c>
      <c r="C11" s="2" t="s">
        <v>108</v>
      </c>
      <c r="D11" s="2"/>
      <c r="E11" s="2"/>
      <c r="F11" s="2"/>
      <c r="G11" s="2"/>
      <c r="H11" s="2"/>
      <c r="I11" s="2"/>
      <c r="J11" s="2" t="s">
        <v>27</v>
      </c>
      <c r="K11" s="3">
        <v>0</v>
      </c>
      <c r="L11" s="3">
        <v>0</v>
      </c>
      <c r="M11" s="2"/>
      <c r="N11" s="2"/>
      <c r="O11" s="2"/>
      <c r="P11" s="2" t="s">
        <v>26</v>
      </c>
      <c r="Q11" s="2" t="s">
        <v>113</v>
      </c>
      <c r="R11" s="3">
        <v>150</v>
      </c>
    </row>
    <row r="12" spans="1:18">
      <c r="A12" s="2" t="s">
        <v>171</v>
      </c>
      <c r="B12" s="2" t="s">
        <v>172</v>
      </c>
      <c r="C12" s="2" t="s">
        <v>173</v>
      </c>
      <c r="D12" s="2" t="s">
        <v>174</v>
      </c>
      <c r="E12" s="2" t="s">
        <v>175</v>
      </c>
      <c r="F12" s="2" t="s">
        <v>176</v>
      </c>
      <c r="G12" s="2"/>
      <c r="H12" s="2"/>
      <c r="I12" s="2"/>
      <c r="J12" s="2" t="s">
        <v>177</v>
      </c>
      <c r="K12" s="3">
        <v>0</v>
      </c>
      <c r="L12" s="3">
        <v>0</v>
      </c>
      <c r="M12" s="2"/>
      <c r="N12" s="2" t="s">
        <v>178</v>
      </c>
      <c r="O12" s="2"/>
      <c r="P12" s="2"/>
      <c r="Q12" s="2"/>
      <c r="R12" s="3">
        <v>150</v>
      </c>
    </row>
    <row r="13" spans="1:18">
      <c r="A13" s="2" t="s">
        <v>179</v>
      </c>
      <c r="B13" s="2" t="s">
        <v>172</v>
      </c>
      <c r="C13" s="2" t="s">
        <v>173</v>
      </c>
      <c r="D13" s="2" t="s">
        <v>180</v>
      </c>
      <c r="E13" s="2" t="s">
        <v>181</v>
      </c>
      <c r="F13" s="2" t="s">
        <v>182</v>
      </c>
      <c r="G13" s="2" t="s">
        <v>181</v>
      </c>
      <c r="H13" s="2" t="s">
        <v>183</v>
      </c>
      <c r="I13" s="2"/>
      <c r="J13" s="2" t="s">
        <v>177</v>
      </c>
      <c r="K13" s="3">
        <v>0</v>
      </c>
      <c r="L13" s="3">
        <v>0</v>
      </c>
      <c r="M13" s="2"/>
      <c r="N13" s="2" t="s">
        <v>184</v>
      </c>
      <c r="O13" s="2"/>
      <c r="P13" s="2"/>
      <c r="Q13" s="2"/>
      <c r="R13" s="3">
        <v>150</v>
      </c>
    </row>
    <row r="14" spans="1:18">
      <c r="A14" s="2" t="s">
        <v>185</v>
      </c>
      <c r="B14" s="2" t="s">
        <v>172</v>
      </c>
      <c r="C14" s="2" t="s">
        <v>173</v>
      </c>
      <c r="D14" s="2" t="s">
        <v>186</v>
      </c>
      <c r="E14" s="2" t="s">
        <v>187</v>
      </c>
      <c r="F14" s="2"/>
      <c r="G14" s="2"/>
      <c r="H14" s="2"/>
      <c r="I14" s="2"/>
      <c r="J14" s="2" t="s">
        <v>177</v>
      </c>
      <c r="K14" s="3">
        <v>0</v>
      </c>
      <c r="L14" s="3">
        <v>0</v>
      </c>
      <c r="M14" s="2"/>
      <c r="N14" s="2" t="s">
        <v>188</v>
      </c>
      <c r="O14" s="2"/>
      <c r="P14" s="2"/>
      <c r="Q14" s="2"/>
      <c r="R14" s="3">
        <v>150</v>
      </c>
    </row>
    <row r="15" spans="1:18">
      <c r="A15" s="2" t="s">
        <v>189</v>
      </c>
      <c r="B15" s="2" t="s">
        <v>172</v>
      </c>
      <c r="C15" s="2" t="s">
        <v>173</v>
      </c>
      <c r="D15" s="2" t="s">
        <v>190</v>
      </c>
      <c r="E15" s="2" t="s">
        <v>187</v>
      </c>
      <c r="F15" s="2"/>
      <c r="G15" s="2"/>
      <c r="H15" s="2"/>
      <c r="I15" s="2"/>
      <c r="J15" s="2" t="s">
        <v>177</v>
      </c>
      <c r="K15" s="3">
        <v>0</v>
      </c>
      <c r="L15" s="3">
        <v>0</v>
      </c>
      <c r="M15" s="2"/>
      <c r="N15" s="2" t="s">
        <v>188</v>
      </c>
      <c r="O15" s="2"/>
      <c r="P15" s="2"/>
      <c r="Q15" s="2"/>
      <c r="R15" s="3">
        <v>150</v>
      </c>
    </row>
    <row r="16" spans="1:18">
      <c r="A16" s="2" t="s">
        <v>191</v>
      </c>
      <c r="B16" s="2" t="s">
        <v>172</v>
      </c>
      <c r="C16" s="2" t="s">
        <v>173</v>
      </c>
      <c r="D16" s="2" t="s">
        <v>192</v>
      </c>
      <c r="E16" s="2" t="s">
        <v>187</v>
      </c>
      <c r="F16" s="2"/>
      <c r="G16" s="2"/>
      <c r="H16" s="2"/>
      <c r="I16" s="2"/>
      <c r="J16" s="2" t="s">
        <v>177</v>
      </c>
      <c r="K16" s="3">
        <v>0</v>
      </c>
      <c r="L16" s="3">
        <v>0</v>
      </c>
      <c r="M16" s="2"/>
      <c r="N16" s="2" t="s">
        <v>193</v>
      </c>
      <c r="O16" s="2"/>
      <c r="P16" s="2"/>
      <c r="Q16" s="2"/>
      <c r="R16" s="3">
        <v>150</v>
      </c>
    </row>
    <row r="17" spans="1:18">
      <c r="A17" s="2" t="s">
        <v>194</v>
      </c>
      <c r="B17" s="2" t="s">
        <v>172</v>
      </c>
      <c r="C17" s="2" t="s">
        <v>173</v>
      </c>
      <c r="D17" s="2" t="s">
        <v>195</v>
      </c>
      <c r="E17" s="2" t="s">
        <v>196</v>
      </c>
      <c r="F17" s="2"/>
      <c r="G17" s="2"/>
      <c r="H17" s="2"/>
      <c r="I17" s="2"/>
      <c r="J17" s="2" t="s">
        <v>177</v>
      </c>
      <c r="K17" s="3">
        <v>0</v>
      </c>
      <c r="L17" s="3">
        <v>0</v>
      </c>
      <c r="M17" s="2"/>
      <c r="N17" s="2" t="s">
        <v>193</v>
      </c>
      <c r="O17" s="2"/>
      <c r="P17" s="2"/>
      <c r="Q17" s="2"/>
      <c r="R17" s="3">
        <v>150</v>
      </c>
    </row>
    <row r="18" spans="1:18">
      <c r="A18" s="2" t="s">
        <v>197</v>
      </c>
      <c r="B18" s="2" t="s">
        <v>172</v>
      </c>
      <c r="C18" s="2" t="s">
        <v>173</v>
      </c>
      <c r="D18" s="2" t="s">
        <v>198</v>
      </c>
      <c r="E18" s="2" t="s">
        <v>196</v>
      </c>
      <c r="F18" s="2"/>
      <c r="G18" s="2"/>
      <c r="H18" s="2"/>
      <c r="I18" s="2"/>
      <c r="J18" s="2" t="s">
        <v>177</v>
      </c>
      <c r="K18" s="3">
        <v>0</v>
      </c>
      <c r="L18" s="3">
        <v>0</v>
      </c>
      <c r="M18" s="2"/>
      <c r="N18" s="2" t="s">
        <v>193</v>
      </c>
      <c r="O18" s="2"/>
      <c r="P18" s="2"/>
      <c r="Q18" s="2"/>
      <c r="R18" s="3">
        <v>150</v>
      </c>
    </row>
    <row r="19" spans="1:18">
      <c r="A19" s="2" t="s">
        <v>199</v>
      </c>
      <c r="B19" s="2" t="s">
        <v>172</v>
      </c>
      <c r="C19" s="2" t="s">
        <v>173</v>
      </c>
      <c r="D19" s="2" t="s">
        <v>200</v>
      </c>
      <c r="E19" s="2" t="s">
        <v>196</v>
      </c>
      <c r="F19" s="2"/>
      <c r="G19" s="2"/>
      <c r="H19" s="2"/>
      <c r="I19" s="2"/>
      <c r="J19" s="2" t="s">
        <v>177</v>
      </c>
      <c r="K19" s="3">
        <v>0</v>
      </c>
      <c r="L19" s="3">
        <v>0</v>
      </c>
      <c r="M19" s="2"/>
      <c r="N19" s="2" t="s">
        <v>193</v>
      </c>
      <c r="O19" s="2"/>
      <c r="P19" s="2"/>
      <c r="Q19" s="2"/>
      <c r="R19" s="3">
        <v>150</v>
      </c>
    </row>
    <row r="20" spans="1:18">
      <c r="A20" s="2" t="s">
        <v>201</v>
      </c>
      <c r="B20" s="2" t="s">
        <v>172</v>
      </c>
      <c r="C20" s="2" t="s">
        <v>173</v>
      </c>
      <c r="D20" s="2" t="s">
        <v>202</v>
      </c>
      <c r="E20" s="2" t="s">
        <v>196</v>
      </c>
      <c r="F20" s="2"/>
      <c r="G20" s="2"/>
      <c r="H20" s="2"/>
      <c r="I20" s="2"/>
      <c r="J20" s="2" t="s">
        <v>177</v>
      </c>
      <c r="K20" s="3">
        <v>0</v>
      </c>
      <c r="L20" s="3">
        <v>0</v>
      </c>
      <c r="M20" s="2"/>
      <c r="N20" s="2" t="s">
        <v>193</v>
      </c>
      <c r="O20" s="2"/>
      <c r="P20" s="2"/>
      <c r="Q20" s="2"/>
      <c r="R20" s="3">
        <v>150</v>
      </c>
    </row>
    <row r="21" spans="1:18">
      <c r="A21" s="2" t="s">
        <v>203</v>
      </c>
      <c r="B21" s="2" t="s">
        <v>172</v>
      </c>
      <c r="C21" s="2" t="s">
        <v>173</v>
      </c>
      <c r="D21" s="2" t="s">
        <v>204</v>
      </c>
      <c r="E21" s="2" t="s">
        <v>196</v>
      </c>
      <c r="F21" s="2"/>
      <c r="G21" s="2"/>
      <c r="H21" s="2"/>
      <c r="I21" s="2"/>
      <c r="J21" s="2" t="s">
        <v>177</v>
      </c>
      <c r="K21" s="3">
        <v>0</v>
      </c>
      <c r="L21" s="3">
        <v>0</v>
      </c>
      <c r="M21" s="2"/>
      <c r="N21" s="2" t="s">
        <v>193</v>
      </c>
      <c r="O21" s="2"/>
      <c r="P21" s="2"/>
      <c r="Q21" s="2"/>
      <c r="R21" s="3">
        <v>150</v>
      </c>
    </row>
    <row r="22" spans="1:18">
      <c r="A22" s="2" t="s">
        <v>205</v>
      </c>
      <c r="B22" s="2" t="s">
        <v>172</v>
      </c>
      <c r="C22" s="2" t="s">
        <v>173</v>
      </c>
      <c r="D22" s="2" t="s">
        <v>206</v>
      </c>
      <c r="E22" s="2" t="s">
        <v>187</v>
      </c>
      <c r="F22" s="2" t="s">
        <v>207</v>
      </c>
      <c r="G22" s="2"/>
      <c r="H22" s="2"/>
      <c r="I22" s="2"/>
      <c r="J22" s="2" t="s">
        <v>177</v>
      </c>
      <c r="K22" s="3">
        <v>0</v>
      </c>
      <c r="L22" s="3">
        <v>0</v>
      </c>
      <c r="M22" s="2"/>
      <c r="N22" s="2" t="s">
        <v>208</v>
      </c>
      <c r="O22" s="2"/>
      <c r="P22" s="2"/>
      <c r="Q22" s="2"/>
      <c r="R22" s="3">
        <v>150</v>
      </c>
    </row>
    <row r="23" spans="1:18">
      <c r="A23" s="2" t="s">
        <v>209</v>
      </c>
      <c r="B23" s="2" t="s">
        <v>172</v>
      </c>
      <c r="C23" s="2" t="s">
        <v>173</v>
      </c>
      <c r="D23" s="2" t="s">
        <v>210</v>
      </c>
      <c r="E23" s="2" t="s">
        <v>187</v>
      </c>
      <c r="F23" s="2"/>
      <c r="G23" s="2"/>
      <c r="H23" s="2"/>
      <c r="I23" s="2"/>
      <c r="J23" s="2" t="s">
        <v>177</v>
      </c>
      <c r="K23" s="3">
        <v>0</v>
      </c>
      <c r="L23" s="3">
        <v>0</v>
      </c>
      <c r="M23" s="2"/>
      <c r="N23" s="2" t="s">
        <v>193</v>
      </c>
      <c r="O23" s="2"/>
      <c r="P23" s="2"/>
      <c r="Q23" s="2"/>
      <c r="R23" s="3">
        <v>150</v>
      </c>
    </row>
    <row r="24" spans="1:18">
      <c r="A24" s="2" t="s">
        <v>211</v>
      </c>
      <c r="B24" s="2" t="s">
        <v>172</v>
      </c>
      <c r="C24" s="2" t="s">
        <v>173</v>
      </c>
      <c r="D24" s="2" t="s">
        <v>212</v>
      </c>
      <c r="E24" s="2" t="s">
        <v>187</v>
      </c>
      <c r="F24" s="2"/>
      <c r="G24" s="2"/>
      <c r="H24" s="2"/>
      <c r="I24" s="2"/>
      <c r="J24" s="2" t="s">
        <v>177</v>
      </c>
      <c r="K24" s="3">
        <v>0</v>
      </c>
      <c r="L24" s="3">
        <v>0</v>
      </c>
      <c r="M24" s="2"/>
      <c r="N24" s="2" t="s">
        <v>193</v>
      </c>
      <c r="O24" s="2"/>
      <c r="P24" s="2"/>
      <c r="Q24" s="2"/>
      <c r="R24" s="3">
        <v>150</v>
      </c>
    </row>
    <row r="25" spans="1:18">
      <c r="A25" s="2" t="s">
        <v>213</v>
      </c>
      <c r="B25" s="2" t="s">
        <v>172</v>
      </c>
      <c r="C25" s="2" t="s">
        <v>173</v>
      </c>
      <c r="D25" s="2" t="s">
        <v>214</v>
      </c>
      <c r="E25" s="2" t="s">
        <v>187</v>
      </c>
      <c r="F25" s="2"/>
      <c r="G25" s="2"/>
      <c r="H25" s="2"/>
      <c r="I25" s="2"/>
      <c r="J25" s="2" t="s">
        <v>177</v>
      </c>
      <c r="K25" s="3">
        <v>0</v>
      </c>
      <c r="L25" s="3">
        <v>0</v>
      </c>
      <c r="M25" s="2"/>
      <c r="N25" s="2" t="s">
        <v>193</v>
      </c>
      <c r="O25" s="2"/>
      <c r="P25" s="2"/>
      <c r="Q25" s="2"/>
      <c r="R25" s="3">
        <v>150</v>
      </c>
    </row>
    <row r="26" spans="1:18">
      <c r="A26" s="2" t="s">
        <v>215</v>
      </c>
      <c r="B26" s="2" t="s">
        <v>172</v>
      </c>
      <c r="C26" s="2" t="s">
        <v>173</v>
      </c>
      <c r="D26" s="2" t="s">
        <v>216</v>
      </c>
      <c r="E26" s="2" t="s">
        <v>187</v>
      </c>
      <c r="F26" s="2"/>
      <c r="G26" s="2"/>
      <c r="H26" s="2"/>
      <c r="I26" s="2"/>
      <c r="J26" s="2" t="s">
        <v>177</v>
      </c>
      <c r="K26" s="3">
        <v>0</v>
      </c>
      <c r="L26" s="3">
        <v>0</v>
      </c>
      <c r="M26" s="2"/>
      <c r="N26" s="2" t="s">
        <v>193</v>
      </c>
      <c r="O26" s="2"/>
      <c r="P26" s="2"/>
      <c r="Q26" s="2"/>
      <c r="R26" s="3">
        <v>150</v>
      </c>
    </row>
  </sheetData>
  <autoFilter ref="A1:R26"/>
  <conditionalFormatting sqref="J2:J501">
    <cfRule type="containsText" dxfId="0" priority="1" operator="containsText" text="Won/Paid">
      <formula>NOT(ISERROR(SEARCH("Won/Paid",J2)))</formula>
    </cfRule>
    <cfRule type="containsText" dxfId="1" priority="2" operator="containsText" text="Do Not Contact">
      <formula>NOT(ISERROR(SEARCH("Do Not Contact",J2)))</formula>
    </cfRule>
  </conditionalFormatting>
  <dataValidations count="1">
    <dataValidation type="list" allowBlank="1" showInputMessage="1" showErrorMessage="1" sqref="J2:J501">
      <formula1>"Contact Ready,Contacted,Replied,Negotiating,Won/Paid,Fulfilled,Follow-up,Lost/Not a Fit,Do Not Contact,Reverify"</formula1>
    </dataValidation>
  </dataValidations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1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4.7109375" customWidth="1"/>
    <col min="3" max="3" width="44.7109375" customWidth="1"/>
    <col min="4" max="4" width="24.7109375" customWidth="1"/>
    <col min="5" max="5" width="44.7109375" customWidth="1"/>
    <col min="6" max="6" width="24.7109375" customWidth="1"/>
    <col min="7" max="7" width="44.7109375" customWidth="1"/>
    <col min="8" max="8" width="36.7109375" customWidth="1"/>
    <col min="9" max="9" width="18.7109375" customWidth="1"/>
    <col min="10" max="10" width="66.7109375" customWidth="1"/>
    <col min="11" max="11" width="12.7109375" customWidth="1"/>
    <col min="12" max="12" width="14.7109375" customWidth="1"/>
  </cols>
  <sheetData>
    <row r="1" spans="1:12">
      <c r="A1" s="1" t="s">
        <v>1</v>
      </c>
      <c r="B1" s="1" t="s">
        <v>157</v>
      </c>
      <c r="C1" s="1" t="s">
        <v>217</v>
      </c>
      <c r="D1" s="1" t="s">
        <v>159</v>
      </c>
      <c r="E1" s="1" t="s">
        <v>218</v>
      </c>
      <c r="F1" s="1" t="s">
        <v>161</v>
      </c>
      <c r="G1" s="1" t="s">
        <v>219</v>
      </c>
      <c r="H1" s="1" t="s">
        <v>162</v>
      </c>
      <c r="I1" s="1" t="s">
        <v>115</v>
      </c>
      <c r="J1" s="1" t="s">
        <v>166</v>
      </c>
      <c r="K1" s="1" t="s">
        <v>164</v>
      </c>
      <c r="L1" s="1" t="s">
        <v>165</v>
      </c>
    </row>
    <row r="2" spans="1:12">
      <c r="A2" s="2" t="s">
        <v>179</v>
      </c>
      <c r="B2" s="2" t="s">
        <v>180</v>
      </c>
      <c r="C2" s="2" t="s">
        <v>220</v>
      </c>
      <c r="D2" s="2" t="s">
        <v>182</v>
      </c>
      <c r="E2" s="2" t="s">
        <v>221</v>
      </c>
      <c r="F2" s="2" t="s">
        <v>183</v>
      </c>
      <c r="G2" s="2" t="s">
        <v>222</v>
      </c>
      <c r="H2" s="2"/>
      <c r="I2" s="2" t="s">
        <v>177</v>
      </c>
      <c r="J2" s="2" t="s">
        <v>184</v>
      </c>
      <c r="K2" s="3">
        <v>0</v>
      </c>
      <c r="L2" s="2"/>
    </row>
    <row r="3" spans="1:12">
      <c r="A3" s="2" t="s">
        <v>215</v>
      </c>
      <c r="B3" s="2" t="s">
        <v>216</v>
      </c>
      <c r="C3" s="2" t="s">
        <v>223</v>
      </c>
      <c r="D3" s="2"/>
      <c r="E3" s="2"/>
      <c r="F3" s="2"/>
      <c r="G3" s="2"/>
      <c r="H3" s="2"/>
      <c r="I3" s="2" t="s">
        <v>177</v>
      </c>
      <c r="J3" s="2" t="s">
        <v>193</v>
      </c>
      <c r="K3" s="3">
        <v>0</v>
      </c>
      <c r="L3" s="2"/>
    </row>
    <row r="4" spans="1:12">
      <c r="A4" s="2" t="s">
        <v>189</v>
      </c>
      <c r="B4" s="2" t="s">
        <v>190</v>
      </c>
      <c r="C4" s="2" t="s">
        <v>224</v>
      </c>
      <c r="D4" s="2"/>
      <c r="E4" s="2"/>
      <c r="F4" s="2"/>
      <c r="G4" s="2"/>
      <c r="H4" s="2"/>
      <c r="I4" s="2" t="s">
        <v>177</v>
      </c>
      <c r="J4" s="2" t="s">
        <v>188</v>
      </c>
      <c r="K4" s="3">
        <v>0</v>
      </c>
      <c r="L4" s="2"/>
    </row>
    <row r="5" spans="1:12">
      <c r="A5" s="2" t="s">
        <v>205</v>
      </c>
      <c r="B5" s="2" t="s">
        <v>206</v>
      </c>
      <c r="C5" s="2" t="s">
        <v>225</v>
      </c>
      <c r="D5" s="2" t="s">
        <v>207</v>
      </c>
      <c r="E5" s="2" t="s">
        <v>226</v>
      </c>
      <c r="F5" s="2"/>
      <c r="G5" s="2"/>
      <c r="H5" s="2"/>
      <c r="I5" s="2" t="s">
        <v>177</v>
      </c>
      <c r="J5" s="2" t="s">
        <v>208</v>
      </c>
      <c r="K5" s="3">
        <v>0</v>
      </c>
      <c r="L5" s="2"/>
    </row>
    <row r="6" spans="1:12">
      <c r="A6" s="2" t="s">
        <v>213</v>
      </c>
      <c r="B6" s="2" t="s">
        <v>214</v>
      </c>
      <c r="C6" s="2" t="s">
        <v>227</v>
      </c>
      <c r="D6" s="2"/>
      <c r="E6" s="2"/>
      <c r="F6" s="2"/>
      <c r="G6" s="2"/>
      <c r="H6" s="2"/>
      <c r="I6" s="2" t="s">
        <v>177</v>
      </c>
      <c r="J6" s="2" t="s">
        <v>193</v>
      </c>
      <c r="K6" s="3">
        <v>0</v>
      </c>
      <c r="L6" s="2"/>
    </row>
    <row r="7" spans="1:12">
      <c r="A7" s="2" t="s">
        <v>211</v>
      </c>
      <c r="B7" s="2" t="s">
        <v>212</v>
      </c>
      <c r="C7" s="2" t="s">
        <v>228</v>
      </c>
      <c r="D7" s="2"/>
      <c r="E7" s="2"/>
      <c r="F7" s="2"/>
      <c r="G7" s="2"/>
      <c r="H7" s="2"/>
      <c r="I7" s="2" t="s">
        <v>177</v>
      </c>
      <c r="J7" s="2" t="s">
        <v>193</v>
      </c>
      <c r="K7" s="3">
        <v>0</v>
      </c>
      <c r="L7" s="2"/>
    </row>
    <row r="8" spans="1:12">
      <c r="A8" s="2" t="s">
        <v>185</v>
      </c>
      <c r="B8" s="2" t="s">
        <v>186</v>
      </c>
      <c r="C8" s="2" t="s">
        <v>229</v>
      </c>
      <c r="D8" s="2"/>
      <c r="E8" s="2"/>
      <c r="F8" s="2"/>
      <c r="G8" s="2"/>
      <c r="H8" s="2"/>
      <c r="I8" s="2" t="s">
        <v>177</v>
      </c>
      <c r="J8" s="2" t="s">
        <v>188</v>
      </c>
      <c r="K8" s="3">
        <v>0</v>
      </c>
      <c r="L8" s="2"/>
    </row>
    <row r="9" spans="1:12">
      <c r="A9" s="2" t="s">
        <v>171</v>
      </c>
      <c r="B9" s="2" t="s">
        <v>174</v>
      </c>
      <c r="C9" s="2" t="s">
        <v>230</v>
      </c>
      <c r="D9" s="2" t="s">
        <v>176</v>
      </c>
      <c r="E9" s="2" t="s">
        <v>231</v>
      </c>
      <c r="F9" s="2"/>
      <c r="G9" s="2"/>
      <c r="H9" s="2"/>
      <c r="I9" s="2" t="s">
        <v>177</v>
      </c>
      <c r="J9" s="2" t="s">
        <v>178</v>
      </c>
      <c r="K9" s="3">
        <v>0</v>
      </c>
      <c r="L9" s="2"/>
    </row>
    <row r="10" spans="1:12">
      <c r="A10" s="2" t="s">
        <v>191</v>
      </c>
      <c r="B10" s="2" t="s">
        <v>192</v>
      </c>
      <c r="C10" s="2" t="s">
        <v>232</v>
      </c>
      <c r="D10" s="2"/>
      <c r="E10" s="2"/>
      <c r="F10" s="2"/>
      <c r="G10" s="2"/>
      <c r="H10" s="2"/>
      <c r="I10" s="2" t="s">
        <v>177</v>
      </c>
      <c r="J10" s="2" t="s">
        <v>193</v>
      </c>
      <c r="K10" s="3">
        <v>0</v>
      </c>
      <c r="L10" s="2"/>
    </row>
    <row r="11" spans="1:12">
      <c r="A11" s="2" t="s">
        <v>209</v>
      </c>
      <c r="B11" s="2" t="s">
        <v>210</v>
      </c>
      <c r="C11" s="2" t="s">
        <v>233</v>
      </c>
      <c r="D11" s="2"/>
      <c r="E11" s="2"/>
      <c r="F11" s="2"/>
      <c r="G11" s="2"/>
      <c r="H11" s="2"/>
      <c r="I11" s="2" t="s">
        <v>177</v>
      </c>
      <c r="J11" s="2" t="s">
        <v>193</v>
      </c>
      <c r="K11" s="3">
        <v>0</v>
      </c>
      <c r="L11" s="2"/>
    </row>
    <row r="12" spans="1:12">
      <c r="A12" s="2" t="s">
        <v>234</v>
      </c>
      <c r="B12" s="2" t="s">
        <v>235</v>
      </c>
      <c r="C12" s="2" t="s">
        <v>236</v>
      </c>
      <c r="D12" s="2"/>
      <c r="E12" s="2"/>
      <c r="F12" s="2"/>
      <c r="G12" s="2"/>
      <c r="H12" s="2"/>
      <c r="I12" s="2" t="s">
        <v>177</v>
      </c>
      <c r="J12" s="2" t="s">
        <v>237</v>
      </c>
      <c r="K12" s="3">
        <v>0</v>
      </c>
      <c r="L12" s="2"/>
    </row>
    <row r="13" spans="1:12">
      <c r="A13" s="2" t="s">
        <v>199</v>
      </c>
      <c r="B13" s="2" t="s">
        <v>200</v>
      </c>
      <c r="C13" s="2" t="s">
        <v>238</v>
      </c>
      <c r="D13" s="2"/>
      <c r="E13" s="2"/>
      <c r="F13" s="2"/>
      <c r="G13" s="2"/>
      <c r="H13" s="2"/>
      <c r="I13" s="2" t="s">
        <v>177</v>
      </c>
      <c r="J13" s="2" t="s">
        <v>193</v>
      </c>
      <c r="K13" s="3">
        <v>0</v>
      </c>
      <c r="L13" s="2"/>
    </row>
    <row r="14" spans="1:12">
      <c r="A14" s="2" t="s">
        <v>194</v>
      </c>
      <c r="B14" s="2" t="s">
        <v>195</v>
      </c>
      <c r="C14" s="2" t="s">
        <v>239</v>
      </c>
      <c r="D14" s="2"/>
      <c r="E14" s="2"/>
      <c r="F14" s="2"/>
      <c r="G14" s="2"/>
      <c r="H14" s="2"/>
      <c r="I14" s="2" t="s">
        <v>177</v>
      </c>
      <c r="J14" s="2" t="s">
        <v>193</v>
      </c>
      <c r="K14" s="3">
        <v>0</v>
      </c>
      <c r="L14" s="2"/>
    </row>
    <row r="15" spans="1:12">
      <c r="A15" s="2" t="s">
        <v>201</v>
      </c>
      <c r="B15" s="2" t="s">
        <v>202</v>
      </c>
      <c r="C15" s="2" t="s">
        <v>240</v>
      </c>
      <c r="D15" s="2"/>
      <c r="E15" s="2"/>
      <c r="F15" s="2"/>
      <c r="G15" s="2"/>
      <c r="H15" s="2"/>
      <c r="I15" s="2" t="s">
        <v>177</v>
      </c>
      <c r="J15" s="2" t="s">
        <v>193</v>
      </c>
      <c r="K15" s="3">
        <v>0</v>
      </c>
      <c r="L15" s="2"/>
    </row>
    <row r="16" spans="1:12">
      <c r="A16" s="2" t="s">
        <v>203</v>
      </c>
      <c r="B16" s="2" t="s">
        <v>204</v>
      </c>
      <c r="C16" s="2" t="s">
        <v>241</v>
      </c>
      <c r="D16" s="2"/>
      <c r="E16" s="2"/>
      <c r="F16" s="2"/>
      <c r="G16" s="2"/>
      <c r="H16" s="2"/>
      <c r="I16" s="2" t="s">
        <v>177</v>
      </c>
      <c r="J16" s="2" t="s">
        <v>193</v>
      </c>
      <c r="K16" s="3">
        <v>0</v>
      </c>
      <c r="L16" s="2"/>
    </row>
    <row r="17" spans="1:12">
      <c r="A17" s="2" t="s">
        <v>197</v>
      </c>
      <c r="B17" s="2" t="s">
        <v>198</v>
      </c>
      <c r="C17" s="2" t="s">
        <v>242</v>
      </c>
      <c r="D17" s="2"/>
      <c r="E17" s="2"/>
      <c r="F17" s="2"/>
      <c r="G17" s="2"/>
      <c r="H17" s="2"/>
      <c r="I17" s="2" t="s">
        <v>177</v>
      </c>
      <c r="J17" s="2" t="s">
        <v>193</v>
      </c>
      <c r="K17" s="3">
        <v>0</v>
      </c>
      <c r="L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8.7109375" customWidth="1"/>
    <col min="3" max="3" width="24.7109375" customWidth="1"/>
    <col min="4" max="4" width="34.7109375" customWidth="1"/>
    <col min="5" max="6" width="12.7109375" customWidth="1"/>
    <col min="7" max="7" width="14.7109375" customWidth="1"/>
    <col min="8" max="8" width="12.7109375" customWidth="1"/>
    <col min="9" max="9" width="64.7109375" customWidth="1"/>
  </cols>
  <sheetData>
    <row r="1" spans="1:9">
      <c r="A1" s="4" t="s">
        <v>1</v>
      </c>
      <c r="B1" s="4" t="s">
        <v>115</v>
      </c>
      <c r="C1" s="4" t="s">
        <v>157</v>
      </c>
      <c r="D1" s="4" t="s">
        <v>162</v>
      </c>
      <c r="E1" s="4" t="s">
        <v>163</v>
      </c>
      <c r="F1" s="4" t="s">
        <v>164</v>
      </c>
      <c r="G1" s="4" t="s">
        <v>243</v>
      </c>
      <c r="H1" s="4" t="s">
        <v>167</v>
      </c>
      <c r="I1" s="4" t="s">
        <v>166</v>
      </c>
    </row>
    <row r="2" spans="1:9">
      <c r="A2" s="2" t="s">
        <v>244</v>
      </c>
      <c r="B2" s="2" t="s">
        <v>27</v>
      </c>
      <c r="C2" s="2"/>
      <c r="D2" s="2"/>
      <c r="E2" s="3">
        <v>0</v>
      </c>
      <c r="F2" s="3">
        <v>0</v>
      </c>
      <c r="G2" s="2" t="s">
        <v>245</v>
      </c>
      <c r="H2" s="2"/>
      <c r="I2" s="2" t="s">
        <v>246</v>
      </c>
    </row>
    <row r="3" spans="1:9">
      <c r="A3" s="2" t="s">
        <v>247</v>
      </c>
      <c r="B3" s="2" t="s">
        <v>27</v>
      </c>
      <c r="C3" s="2"/>
      <c r="D3" s="2"/>
      <c r="E3" s="3">
        <v>0</v>
      </c>
      <c r="F3" s="3">
        <v>0</v>
      </c>
      <c r="G3" s="2" t="s">
        <v>248</v>
      </c>
      <c r="H3" s="2"/>
      <c r="I3" s="2"/>
    </row>
    <row r="4" spans="1:9">
      <c r="A4" s="2" t="s">
        <v>249</v>
      </c>
      <c r="B4" s="2" t="s">
        <v>27</v>
      </c>
      <c r="C4" s="2"/>
      <c r="D4" s="2"/>
      <c r="E4" s="3">
        <v>0</v>
      </c>
      <c r="F4" s="3">
        <v>0</v>
      </c>
      <c r="G4" s="2" t="s">
        <v>248</v>
      </c>
      <c r="H4" s="2"/>
      <c r="I4" s="2"/>
    </row>
    <row r="5" spans="1:9">
      <c r="A5" s="2" t="s">
        <v>234</v>
      </c>
      <c r="B5" s="2" t="s">
        <v>177</v>
      </c>
      <c r="C5" s="2" t="s">
        <v>235</v>
      </c>
      <c r="D5" s="2"/>
      <c r="E5" s="3">
        <v>0</v>
      </c>
      <c r="F5" s="3">
        <v>0</v>
      </c>
      <c r="G5" s="2" t="s">
        <v>248</v>
      </c>
      <c r="H5" s="2"/>
      <c r="I5" s="2" t="s">
        <v>237</v>
      </c>
    </row>
    <row r="6" spans="1:9">
      <c r="A6" s="2" t="s">
        <v>250</v>
      </c>
      <c r="B6" s="2" t="s">
        <v>27</v>
      </c>
      <c r="C6" s="2"/>
      <c r="D6" s="2"/>
      <c r="E6" s="3">
        <v>0</v>
      </c>
      <c r="F6" s="3">
        <v>0</v>
      </c>
      <c r="G6" s="2" t="s">
        <v>248</v>
      </c>
      <c r="H6" s="2"/>
      <c r="I6" s="2"/>
    </row>
    <row r="7" spans="1:9">
      <c r="A7" s="2" t="s">
        <v>251</v>
      </c>
      <c r="B7" s="2" t="s">
        <v>27</v>
      </c>
      <c r="C7" s="2"/>
      <c r="D7" s="2"/>
      <c r="E7" s="3">
        <v>0</v>
      </c>
      <c r="F7" s="3">
        <v>0</v>
      </c>
      <c r="G7" s="2" t="s">
        <v>248</v>
      </c>
      <c r="H7" s="2"/>
      <c r="I7" s="2"/>
    </row>
    <row r="8" spans="1:9">
      <c r="A8" s="2" t="s">
        <v>252</v>
      </c>
      <c r="B8" s="2" t="s">
        <v>27</v>
      </c>
      <c r="C8" s="2"/>
      <c r="D8" s="2"/>
      <c r="E8" s="3">
        <v>0</v>
      </c>
      <c r="F8" s="3">
        <v>0</v>
      </c>
      <c r="G8" s="2" t="s">
        <v>248</v>
      </c>
      <c r="H8" s="2"/>
      <c r="I8" s="2"/>
    </row>
    <row r="9" spans="1:9">
      <c r="A9" s="2" t="s">
        <v>253</v>
      </c>
      <c r="B9" s="2" t="s">
        <v>27</v>
      </c>
      <c r="C9" s="2"/>
      <c r="D9" s="2"/>
      <c r="E9" s="3">
        <v>0</v>
      </c>
      <c r="F9" s="3">
        <v>0</v>
      </c>
      <c r="G9" s="2" t="s">
        <v>181</v>
      </c>
      <c r="H9" s="2"/>
      <c r="I9" s="2"/>
    </row>
    <row r="10" spans="1:9">
      <c r="A10" s="2" t="s">
        <v>254</v>
      </c>
      <c r="B10" s="2" t="s">
        <v>27</v>
      </c>
      <c r="C10" s="2"/>
      <c r="D10" s="2"/>
      <c r="E10" s="3">
        <v>0</v>
      </c>
      <c r="F10" s="3">
        <v>0</v>
      </c>
      <c r="G10" s="2" t="s">
        <v>196</v>
      </c>
      <c r="H10" s="2"/>
      <c r="I10" s="2" t="s">
        <v>255</v>
      </c>
    </row>
    <row r="11" spans="1:9">
      <c r="A11" s="2" t="s">
        <v>256</v>
      </c>
      <c r="B11" s="2" t="s">
        <v>27</v>
      </c>
      <c r="C11" s="2"/>
      <c r="D11" s="2"/>
      <c r="E11" s="3">
        <v>0</v>
      </c>
      <c r="F11" s="3">
        <v>0</v>
      </c>
      <c r="G11" s="2" t="s">
        <v>181</v>
      </c>
      <c r="H11" s="2"/>
      <c r="I11" s="2"/>
    </row>
    <row r="12" spans="1:9">
      <c r="A12" s="2" t="s">
        <v>257</v>
      </c>
      <c r="B12" s="2" t="s">
        <v>27</v>
      </c>
      <c r="C12" s="2"/>
      <c r="D12" s="2"/>
      <c r="E12" s="3">
        <v>0</v>
      </c>
      <c r="F12" s="3">
        <v>0</v>
      </c>
      <c r="G12" s="2" t="s">
        <v>187</v>
      </c>
      <c r="H12" s="2"/>
      <c r="I12" s="2"/>
    </row>
    <row r="13" spans="1:9">
      <c r="A13" s="2" t="s">
        <v>258</v>
      </c>
      <c r="B13" s="2" t="s">
        <v>27</v>
      </c>
      <c r="C13" s="2"/>
      <c r="D13" s="2"/>
      <c r="E13" s="3">
        <v>0</v>
      </c>
      <c r="F13" s="3">
        <v>0</v>
      </c>
      <c r="G13" s="2" t="s">
        <v>175</v>
      </c>
      <c r="H13" s="2"/>
      <c r="I13" s="2"/>
    </row>
    <row r="14" spans="1:9">
      <c r="A14" s="2" t="s">
        <v>259</v>
      </c>
      <c r="B14" s="2" t="s">
        <v>27</v>
      </c>
      <c r="C14" s="2"/>
      <c r="D14" s="2"/>
      <c r="E14" s="3">
        <v>0</v>
      </c>
      <c r="F14" s="3">
        <v>0</v>
      </c>
      <c r="G14" s="2" t="s">
        <v>245</v>
      </c>
      <c r="H14" s="2"/>
      <c r="I14" s="2" t="s">
        <v>246</v>
      </c>
    </row>
    <row r="15" spans="1:9">
      <c r="A15" s="2" t="s">
        <v>260</v>
      </c>
      <c r="B15" s="2" t="s">
        <v>27</v>
      </c>
      <c r="C15" s="2"/>
      <c r="D15" s="2"/>
      <c r="E15" s="3">
        <v>0</v>
      </c>
      <c r="F15" s="3">
        <v>0</v>
      </c>
      <c r="G15" s="2" t="s">
        <v>181</v>
      </c>
      <c r="H15" s="2"/>
      <c r="I15" s="2"/>
    </row>
    <row r="16" spans="1:9">
      <c r="A16" s="2" t="s">
        <v>261</v>
      </c>
      <c r="B16" s="2" t="s">
        <v>27</v>
      </c>
      <c r="C16" s="2"/>
      <c r="D16" s="2"/>
      <c r="E16" s="3">
        <v>0</v>
      </c>
      <c r="F16" s="3">
        <v>0</v>
      </c>
      <c r="G16" s="2" t="s">
        <v>181</v>
      </c>
      <c r="H16" s="2"/>
      <c r="I16" s="2"/>
    </row>
    <row r="17" spans="1:9">
      <c r="A17" s="2" t="s">
        <v>262</v>
      </c>
      <c r="B17" s="2" t="s">
        <v>27</v>
      </c>
      <c r="C17" s="2"/>
      <c r="D17" s="2"/>
      <c r="E17" s="3">
        <v>0</v>
      </c>
      <c r="F17" s="3">
        <v>0</v>
      </c>
      <c r="G17" s="2" t="s">
        <v>187</v>
      </c>
      <c r="H17" s="2"/>
      <c r="I17" s="2"/>
    </row>
    <row r="18" spans="1:9">
      <c r="A18" s="2" t="s">
        <v>263</v>
      </c>
      <c r="B18" s="2" t="s">
        <v>27</v>
      </c>
      <c r="C18" s="2"/>
      <c r="D18" s="2"/>
      <c r="E18" s="3">
        <v>0</v>
      </c>
      <c r="F18" s="3">
        <v>0</v>
      </c>
      <c r="G18" s="2" t="s">
        <v>245</v>
      </c>
      <c r="H18" s="2"/>
      <c r="I18" s="2" t="s">
        <v>246</v>
      </c>
    </row>
    <row r="19" spans="1:9">
      <c r="A19" s="2" t="s">
        <v>264</v>
      </c>
      <c r="B19" s="2" t="s">
        <v>27</v>
      </c>
      <c r="C19" s="2"/>
      <c r="D19" s="2"/>
      <c r="E19" s="3">
        <v>0</v>
      </c>
      <c r="F19" s="3">
        <v>0</v>
      </c>
      <c r="G19" s="2" t="s">
        <v>245</v>
      </c>
      <c r="H19" s="2"/>
      <c r="I19" s="2" t="s">
        <v>246</v>
      </c>
    </row>
    <row r="20" spans="1:9">
      <c r="A20" s="2" t="s">
        <v>265</v>
      </c>
      <c r="B20" s="2" t="s">
        <v>27</v>
      </c>
      <c r="C20" s="2"/>
      <c r="D20" s="2"/>
      <c r="E20" s="3">
        <v>0</v>
      </c>
      <c r="F20" s="3">
        <v>0</v>
      </c>
      <c r="G20" s="2" t="s">
        <v>245</v>
      </c>
      <c r="H20" s="2"/>
      <c r="I20" s="2" t="s">
        <v>246</v>
      </c>
    </row>
    <row r="21" spans="1:9">
      <c r="A21" s="2" t="s">
        <v>266</v>
      </c>
      <c r="B21" s="2" t="s">
        <v>27</v>
      </c>
      <c r="C21" s="2"/>
      <c r="D21" s="2"/>
      <c r="E21" s="3">
        <v>0</v>
      </c>
      <c r="F21" s="3">
        <v>0</v>
      </c>
      <c r="G21" s="2" t="s">
        <v>267</v>
      </c>
      <c r="H21" s="2"/>
      <c r="I21" s="2" t="s">
        <v>268</v>
      </c>
    </row>
    <row r="22" spans="1:9">
      <c r="A22" s="2" t="s">
        <v>269</v>
      </c>
      <c r="B22" s="2" t="s">
        <v>27</v>
      </c>
      <c r="C22" s="2"/>
      <c r="D22" s="2"/>
      <c r="E22" s="3">
        <v>0</v>
      </c>
      <c r="F22" s="3">
        <v>0</v>
      </c>
      <c r="G22" s="2" t="s">
        <v>245</v>
      </c>
      <c r="H22" s="2"/>
      <c r="I22" s="2" t="s">
        <v>246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62.7109375" customWidth="1"/>
    <col min="3" max="3" width="50.7109375" customWidth="1"/>
    <col min="4" max="4" width="14.7109375" customWidth="1"/>
    <col min="5" max="5" width="34.7109375" customWidth="1"/>
    <col min="6" max="6" width="58.7109375" customWidth="1"/>
  </cols>
  <sheetData>
    <row r="1" spans="1:6">
      <c r="A1" s="1" t="s">
        <v>1</v>
      </c>
      <c r="B1" s="1" t="s">
        <v>5</v>
      </c>
      <c r="C1" s="1" t="s">
        <v>12</v>
      </c>
      <c r="D1" s="1" t="s">
        <v>270</v>
      </c>
      <c r="E1" s="1" t="s">
        <v>271</v>
      </c>
      <c r="F1" s="1" t="s">
        <v>272</v>
      </c>
    </row>
    <row r="2" spans="1:6">
      <c r="A2" s="2" t="s">
        <v>15</v>
      </c>
      <c r="B2" s="2" t="s">
        <v>19</v>
      </c>
      <c r="C2" s="2" t="s">
        <v>25</v>
      </c>
      <c r="D2" s="2" t="s">
        <v>26</v>
      </c>
      <c r="E2" s="2" t="s">
        <v>20</v>
      </c>
      <c r="F2" s="2" t="s">
        <v>273</v>
      </c>
    </row>
    <row r="3" spans="1:6">
      <c r="A3" s="2" t="s">
        <v>28</v>
      </c>
      <c r="B3" s="2" t="s">
        <v>31</v>
      </c>
      <c r="C3" s="2" t="s">
        <v>37</v>
      </c>
      <c r="D3" s="2" t="s">
        <v>26</v>
      </c>
      <c r="E3" s="2" t="s">
        <v>32</v>
      </c>
      <c r="F3" s="2" t="s">
        <v>273</v>
      </c>
    </row>
    <row r="4" spans="1:6">
      <c r="A4" s="2" t="s">
        <v>38</v>
      </c>
      <c r="B4" s="2" t="s">
        <v>41</v>
      </c>
      <c r="C4" s="2" t="s">
        <v>47</v>
      </c>
      <c r="D4" s="2" t="s">
        <v>26</v>
      </c>
      <c r="E4" s="2" t="s">
        <v>42</v>
      </c>
      <c r="F4" s="2" t="s">
        <v>273</v>
      </c>
    </row>
    <row r="5" spans="1:6">
      <c r="A5" s="2" t="s">
        <v>48</v>
      </c>
      <c r="B5" s="2" t="s">
        <v>51</v>
      </c>
      <c r="C5" s="2" t="s">
        <v>57</v>
      </c>
      <c r="D5" s="2" t="s">
        <v>26</v>
      </c>
      <c r="E5" s="2" t="s">
        <v>52</v>
      </c>
      <c r="F5" s="2" t="s">
        <v>273</v>
      </c>
    </row>
    <row r="6" spans="1:6">
      <c r="A6" s="2" t="s">
        <v>58</v>
      </c>
      <c r="B6" s="2" t="s">
        <v>61</v>
      </c>
      <c r="C6" s="2" t="s">
        <v>67</v>
      </c>
      <c r="D6" s="2" t="s">
        <v>26</v>
      </c>
      <c r="E6" s="2" t="s">
        <v>62</v>
      </c>
      <c r="F6" s="2" t="s">
        <v>273</v>
      </c>
    </row>
    <row r="7" spans="1:6">
      <c r="A7" s="2" t="s">
        <v>68</v>
      </c>
      <c r="B7" s="2" t="s">
        <v>70</v>
      </c>
      <c r="C7" s="2" t="s">
        <v>76</v>
      </c>
      <c r="D7" s="2" t="s">
        <v>26</v>
      </c>
      <c r="E7" s="2" t="s">
        <v>71</v>
      </c>
      <c r="F7" s="2" t="s">
        <v>273</v>
      </c>
    </row>
    <row r="8" spans="1:6">
      <c r="A8" s="2" t="s">
        <v>77</v>
      </c>
      <c r="B8" s="2" t="s">
        <v>79</v>
      </c>
      <c r="C8" s="2" t="s">
        <v>85</v>
      </c>
      <c r="D8" s="2" t="s">
        <v>26</v>
      </c>
      <c r="E8" s="2" t="s">
        <v>80</v>
      </c>
      <c r="F8" s="2" t="s">
        <v>273</v>
      </c>
    </row>
    <row r="9" spans="1:6">
      <c r="A9" s="2" t="s">
        <v>86</v>
      </c>
      <c r="B9" s="2" t="s">
        <v>88</v>
      </c>
      <c r="C9" s="2" t="s">
        <v>94</v>
      </c>
      <c r="D9" s="2" t="s">
        <v>26</v>
      </c>
      <c r="E9" s="2" t="s">
        <v>89</v>
      </c>
      <c r="F9" s="2" t="s">
        <v>273</v>
      </c>
    </row>
    <row r="10" spans="1:6">
      <c r="A10" s="2" t="s">
        <v>95</v>
      </c>
      <c r="B10" s="2" t="s">
        <v>98</v>
      </c>
      <c r="C10" s="2" t="s">
        <v>104</v>
      </c>
      <c r="D10" s="2" t="s">
        <v>26</v>
      </c>
      <c r="E10" s="2" t="s">
        <v>99</v>
      </c>
      <c r="F10" s="2" t="s">
        <v>273</v>
      </c>
    </row>
    <row r="11" spans="1:6">
      <c r="A11" s="2" t="s">
        <v>105</v>
      </c>
      <c r="B11" s="2" t="s">
        <v>107</v>
      </c>
      <c r="C11" s="2" t="s">
        <v>113</v>
      </c>
      <c r="D11" s="2" t="s">
        <v>26</v>
      </c>
      <c r="E11" s="2" t="s">
        <v>108</v>
      </c>
      <c r="F11" s="2" t="s">
        <v>273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cols>
    <col min="1" max="1" width="22.7109375" customWidth="1"/>
    <col min="2" max="2" width="14.7109375" customWidth="1"/>
    <col min="3" max="3" width="4.7109375" customWidth="1"/>
    <col min="4" max="4" width="24.7109375" customWidth="1"/>
    <col min="5" max="5" width="16.7109375" customWidth="1"/>
    <col min="6" max="6" width="48.7109375" customWidth="1"/>
  </cols>
  <sheetData>
    <row r="1" spans="1:6" ht="28" customHeight="1">
      <c r="A1" s="5" t="s">
        <v>274</v>
      </c>
      <c r="B1" s="5"/>
      <c r="C1" s="5"/>
      <c r="D1" s="5"/>
      <c r="E1" s="5"/>
      <c r="F1" s="5"/>
    </row>
    <row r="3" spans="1:6">
      <c r="A3" s="1" t="s">
        <v>275</v>
      </c>
      <c r="B3" s="1" t="s">
        <v>276</v>
      </c>
      <c r="C3" s="2"/>
      <c r="D3" s="1" t="s">
        <v>277</v>
      </c>
      <c r="E3" s="1" t="s">
        <v>276</v>
      </c>
      <c r="F3" s="1" t="s">
        <v>278</v>
      </c>
    </row>
    <row r="4" spans="1:6">
      <c r="A4" s="2" t="s">
        <v>27</v>
      </c>
      <c r="B4" s="2">
        <f>COUNTIF(Pipeline!J:J,"Contact Ready")</f>
        <v>0</v>
      </c>
      <c r="D4" s="2" t="s">
        <v>282</v>
      </c>
      <c r="E4" s="3">
        <f>SUM(Pipeline!R:R)</f>
        <v>0</v>
      </c>
      <c r="F4" s="2" t="s">
        <v>283</v>
      </c>
    </row>
    <row r="5" spans="1:6">
      <c r="A5" s="2" t="s">
        <v>177</v>
      </c>
      <c r="B5" s="2">
        <f>COUNTIF(Pipeline!J:J,"Contacted")</f>
        <v>0</v>
      </c>
      <c r="D5" s="2" t="s">
        <v>284</v>
      </c>
      <c r="E5" s="3">
        <f>SUM(Pipeline!K:K)</f>
        <v>0</v>
      </c>
      <c r="F5" s="2" t="s">
        <v>285</v>
      </c>
    </row>
    <row r="6" spans="1:6">
      <c r="A6" s="2" t="s">
        <v>279</v>
      </c>
      <c r="B6" s="2">
        <f>COUNTIF(Pipeline!J:J,"Replied")</f>
        <v>0</v>
      </c>
      <c r="D6" s="2" t="s">
        <v>286</v>
      </c>
      <c r="E6" s="3">
        <f>SUM(Pipeline!L:L)</f>
        <v>0</v>
      </c>
      <c r="F6" s="2" t="s">
        <v>287</v>
      </c>
    </row>
    <row r="7" spans="1:6">
      <c r="A7" s="2" t="s">
        <v>280</v>
      </c>
      <c r="B7" s="2">
        <f>COUNTIF(Pipeline!J:J,"Negotiating")</f>
        <v>0</v>
      </c>
      <c r="D7" s="2" t="s">
        <v>288</v>
      </c>
      <c r="E7" s="6">
        <f>IFERROR(COUNTIF(Pipeline!J:J,"Replied")/COUNTIF(Pipeline!D:D,"&lt;&gt;"),0)</f>
        <v>0</v>
      </c>
      <c r="F7" s="2" t="s">
        <v>289</v>
      </c>
    </row>
    <row r="8" spans="1:6">
      <c r="A8" s="2" t="s">
        <v>281</v>
      </c>
      <c r="B8" s="2">
        <f>COUNTIF(Pipeline!J:J,"Won/Paid")</f>
        <v>0</v>
      </c>
      <c r="D8" s="2" t="s">
        <v>290</v>
      </c>
      <c r="E8" s="6">
        <f>IFERROR(COUNTIF(Pipeline!J:J,"Won/Paid")/COUNTIF(Pipeline!D:D,"&lt;&gt;"),0)</f>
        <v>0</v>
      </c>
      <c r="F8" s="2" t="s">
        <v>291</v>
      </c>
    </row>
    <row r="9" spans="1:6">
      <c r="A9" s="2" t="s">
        <v>165</v>
      </c>
      <c r="B9" s="2">
        <f>COUNTIF(Pipeline!J:J,"Fulfilled")</f>
        <v>0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28.7109375" customWidth="1"/>
    <col min="2" max="2" width="100.7109375" customWidth="1"/>
  </cols>
  <sheetData>
    <row r="1" spans="1:2">
      <c r="A1" s="1" t="s">
        <v>292</v>
      </c>
      <c r="B1" s="1" t="s">
        <v>293</v>
      </c>
    </row>
    <row r="2" spans="1:2">
      <c r="A2" s="2" t="s">
        <v>294</v>
      </c>
      <c r="B2" s="2" t="s">
        <v>295</v>
      </c>
    </row>
    <row r="3" spans="1:2">
      <c r="A3" s="2" t="s">
        <v>296</v>
      </c>
      <c r="B3" s="2" t="s">
        <v>297</v>
      </c>
    </row>
    <row r="4" spans="1:2">
      <c r="A4" s="2" t="s">
        <v>298</v>
      </c>
      <c r="B4" s="2" t="s">
        <v>299</v>
      </c>
    </row>
    <row r="5" spans="1:2">
      <c r="A5" s="2" t="s">
        <v>300</v>
      </c>
      <c r="B5" s="2" t="s">
        <v>301</v>
      </c>
    </row>
    <row r="6" spans="1:2">
      <c r="A6" s="2" t="s">
        <v>302</v>
      </c>
      <c r="B6" s="2" t="s">
        <v>303</v>
      </c>
    </row>
    <row r="7" spans="1:2">
      <c r="A7" s="2" t="s">
        <v>304</v>
      </c>
      <c r="B7" s="2" t="s">
        <v>305</v>
      </c>
    </row>
    <row r="8" spans="1:2">
      <c r="A8" s="2" t="s">
        <v>306</v>
      </c>
      <c r="B8" s="2" t="s">
        <v>307</v>
      </c>
    </row>
    <row r="9" spans="1:2">
      <c r="A9" s="2" t="s">
        <v>308</v>
      </c>
      <c r="B9" s="2" t="s">
        <v>309</v>
      </c>
    </row>
    <row r="10" spans="1:2">
      <c r="A10" s="2" t="s">
        <v>172</v>
      </c>
      <c r="B10" s="2" t="s">
        <v>310</v>
      </c>
    </row>
    <row r="11" spans="1:2">
      <c r="A11" s="2" t="s">
        <v>311</v>
      </c>
      <c r="B11" s="2" t="s">
        <v>312</v>
      </c>
    </row>
    <row r="12" spans="1:2">
      <c r="A12" s="2" t="s">
        <v>313</v>
      </c>
      <c r="B12" s="2" t="s">
        <v>314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4" width="20.7109375" customWidth="1"/>
    <col min="5" max="5" width="90.7109375" customWidth="1"/>
  </cols>
  <sheetData>
    <row r="1" spans="1:5">
      <c r="A1" s="1" t="s">
        <v>315</v>
      </c>
      <c r="B1" s="1" t="s">
        <v>316</v>
      </c>
      <c r="C1" s="1" t="s">
        <v>317</v>
      </c>
      <c r="D1" s="1" t="s">
        <v>318</v>
      </c>
      <c r="E1" s="1" t="s">
        <v>319</v>
      </c>
    </row>
    <row r="2" spans="1:5">
      <c r="A2" s="2" t="s">
        <v>26</v>
      </c>
      <c r="B2" s="2">
        <v>10</v>
      </c>
      <c r="C2" s="2">
        <v>16</v>
      </c>
      <c r="D2" s="2">
        <v>21</v>
      </c>
      <c r="E2" s="2" t="s">
        <v>320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New Lead Queue</vt:lpstr>
      <vt:lpstr>Scripts</vt:lpstr>
      <vt:lpstr>Pipeline</vt:lpstr>
      <vt:lpstr>Actual Outreach History</vt:lpstr>
      <vt:lpstr>Archived Leads</vt:lpstr>
      <vt:lpstr>Sources</vt:lpstr>
      <vt:lpstr>Dashboard</vt:lpstr>
      <vt:lpstr>Update Rules</vt:lpstr>
      <vt:lpstr>Refresh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Same-Day Customer Growth Pack — Live CRM</dc:title>
  <dc:subject>Verified prospecting CRM</dc:subject>
  <dc:creator>Founder OS</dc:creator>
  <cp:lastModifiedBy>Founder OS</cp:lastModifiedBy>
  <dcterms:created xsi:type="dcterms:W3CDTF">2026-09-18T15:50:31Z</dcterms:created>
  <dcterms:modified xsi:type="dcterms:W3CDTF">2026-09-18T15:50:31Z</dcterms:modified>
</cp:coreProperties>
</file>