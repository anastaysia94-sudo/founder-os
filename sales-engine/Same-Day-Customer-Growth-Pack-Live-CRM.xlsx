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Queue'!$A$1:$O$21</definedName>
    <definedName name="_xlnm._FilterDatabase" localSheetId="2" hidden="1">Pipeline!$A$1:$R$36</definedName>
  </definedNames>
  <calcPr calcId="124519" fullCalcOnLoad="1"/>
</workbook>
</file>

<file path=xl/sharedStrings.xml><?xml version="1.0" encoding="utf-8"?>
<sst xmlns="http://schemas.openxmlformats.org/spreadsheetml/2006/main" count="935" uniqueCount="431">
  <si>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</si>
  <si>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</si>
  <si>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</si>
  <si>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</si>
  <si>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</si>
  <si>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</si>
  <si>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</si>
  <si>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</si>
  <si>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</si>
  <si>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</si>
  <si>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</si>
  <si>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</si>
  <si>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</si>
  <si>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</si>
  <si>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</si>
  <si>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RCK Development</t>
  </si>
  <si>
    <t>Remodeling / ADU / Additions / HVAC / Plumbing</t>
  </si>
  <si>
    <t>San Jose / Bay Area, CA</t>
  </si>
  <si>
    <t>A</t>
  </si>
  <si>
    <t>Official site crawled Sep 14 publishes direct email, free estimates, same-day message response, realistic estimate/timeline promises, permit coordination and high-ticket remodel/ADU work.</t>
  </si>
  <si>
    <t>(408) 982-7586</t>
  </si>
  <si>
    <t>therckdevelopment@gmail.com</t>
  </si>
  <si>
    <t>Direct email; same-day message response; free estimate</t>
  </si>
  <si>
    <t>Turn realistic scope, timeline and permit coordination into a no-pressure pre-estimate decision funnel.</t>
  </si>
  <si>
    <t>Realistic remodel estimate campaign idea for RCK</t>
  </si>
  <si>
    <t>Hi — I reviewed RCK Development’s current site and noticed you make a useful promise most contractors avoid: realistic estimates and timelines, with permits and changes handled clearly. Campaign angle: ‘Before choosing finishes, know what the project can realistically cost, how long it can take, and what has to happen first.’ I’d turn that into planning FAQs, ADU/remodel posts and estimate follow-ups. Same-Day Customer Growth Pack: $150 flat. Want two RCK-specific examples first?</t>
  </si>
  <si>
    <t>https://www.rckdevelopment.com/</t>
  </si>
  <si>
    <t>2026-09-14</t>
  </si>
  <si>
    <t>Contact Ready</t>
  </si>
  <si>
    <t>Fox Electric</t>
  </si>
  <si>
    <t>Electrical / EV Charger / Panel Upgrade</t>
  </si>
  <si>
    <t>Current San Jose EV page advertises free on-site estimates, a 2-hour quote response, same-day availability, written fixed pricing, permit handling, PG&amp;E coordination and panel/load-management options.</t>
  </si>
  <si>
    <t>(650) 550-0719</t>
  </si>
  <si>
    <t>info@foxelectrician.com</t>
  </si>
  <si>
    <t>Direct email; 2-hour quote response; same-day slots</t>
  </si>
  <si>
    <t>Use EV load calculation and panel-readiness education to prevent unnecessary upgrades and make the estimate feel trustworthy.</t>
  </si>
  <si>
    <t>2-hour EV + panel readiness campaign idea for Fox Electric</t>
  </si>
  <si>
    <t>Hi — I reviewed Fox Electric’s San Jose EV page and the strongest marketing angle may be that you check whether a home actually needs a panel upgrade before selling one. Campaign idea: ‘Before upgrading the panel, calculate what the home and charger really require.’ I’d turn that into EV-readiness FAQs, load-management education, permit/PG&amp;E posts and estimate follow-ups. $150 flat. Want two Fox-specific examples first?</t>
  </si>
  <si>
    <t>https://foxelectrician.com/services/ev-charger-installation/san-jose/</t>
  </si>
  <si>
    <t>EMC Remodels</t>
  </si>
  <si>
    <t>Remodeling / ADU / Additions / Structural</t>
  </si>
  <si>
    <t>Official site crawled Sep 14 publishes direct estimate email, free estimates, detailed proposals, ADUs/additions, structural and seismic work, permit experience and response within one business day.</t>
  </si>
  <si>
    <t>(510) 650-5555</t>
  </si>
  <si>
    <t>estimates@emcremodels.com</t>
  </si>
  <si>
    <t>Direct estimates email; response within one business day</t>
  </si>
  <si>
    <t>Turn project type, budget, structural risk and permitting into an estimate-readiness campaign.</t>
  </si>
  <si>
    <t>Estimate-readiness campaign idea for EMC Remodels</t>
  </si>
  <si>
    <t>Hi — I reviewed EMC Remodels’ current estimate flow and noticed you already ask the questions that determine whether a project is ready to move: scope, budget, start timing and structural needs. I’d turn that into an ‘Is your remodel or ADU ready for an estimate?’ campaign with permit FAQs, structural-risk education and estimate follow-ups. Same-Day Customer Growth Pack: $150 flat. Want two EMC-specific examples first?</t>
  </si>
  <si>
    <t>https://www.emcremodels.com/</t>
  </si>
  <si>
    <t>Primework Construction</t>
  </si>
  <si>
    <t>Remodeling / Renovation / Design-Build</t>
  </si>
  <si>
    <t>Current official pages publish direct email, free quotes, 24/7 service hours, full-house/kitchen/bath/exterior renovation and a design-build process with budget proposals and timelines.</t>
  </si>
  <si>
    <t>669-345-7070</t>
  </si>
  <si>
    <t>info@primeworkconstructionca.com</t>
  </si>
  <si>
    <t>Direct email; 24/7 listed service hours; free quote</t>
  </si>
  <si>
    <t>Use design-first planning, budget breakdown and timeline clarity to reduce fear of change orders and renovation uncertainty.</t>
  </si>
  <si>
    <t>Design-to-budget campaign idea for Primework Construction</t>
  </si>
  <si>
    <t>Hi — I reviewed Primework Construction’s current process and noticed a strong decision-making story: design first, then a detailed budget proposal and timeline before the renovation moves forward. I’d turn that into planning posts, ‘avoid costly change-order’ FAQs and free-quote follow-ups. Same-Day Customer Growth Pack: $150 flat. Want two Primework-specific examples first?</t>
  </si>
  <si>
    <t>https://primeworkconstructionca.com/</t>
  </si>
  <si>
    <t>Bayco Builders &amp; Restoration</t>
  </si>
  <si>
    <t>Water / Fire / Mold / Sewage / Remodeling</t>
  </si>
  <si>
    <t>Official site crawled Sep 14 publishes direct email, 24/7 emergency response, IICRC-certified restoration, insurance coordination, free estimates and mitigation-to-remodel/rebuild capability.</t>
  </si>
  <si>
    <t>(669) 770-5373</t>
  </si>
  <si>
    <t>baycobuildersandrestoration@gmail.com</t>
  </si>
  <si>
    <t>Direct email; 24/7 emergency response; free estimate</t>
  </si>
  <si>
    <t>Explain the first-hour mitigation, insurance documentation and rebuild path in calm plain language.</t>
  </si>
  <si>
    <t>First-hour restoration campaign idea for Bayco</t>
  </si>
  <si>
    <t>Hi — I reviewed Bayco’s current San Jose restoration pages and think the strongest campaign is the full path after an emergency: ‘Stop the damage first, document what happened, then keep the rebuild moving without starting over.’ I’d turn that into first-hour checklists, insurance FAQs, emergency posts and rebuild follow-ups. Same-Day Customer Growth Pack: $150 flat. Want two Bayco-specific examples first?</t>
  </si>
  <si>
    <t>https://baycobuildersandrestoration.com/</t>
  </si>
  <si>
    <t>Hertz Electric Inc</t>
  </si>
  <si>
    <t>Electrical / EV / Panel / Battery</t>
  </si>
  <si>
    <t>Official site crawled Sep 12-13 advertises free estimates, same-day service, EV chargers, panel upgrades, Tesla Powerwall work, active EV/panel promotions and PG&amp;E rebate assistance.</t>
  </si>
  <si>
    <t>(415) 676-0598</t>
  </si>
  <si>
    <t>arash@thehertzelectric.com</t>
  </si>
  <si>
    <t>Direct email; same-day/emergency service</t>
  </si>
  <si>
    <t>Turn panel capacity, EV charging and rebate navigation into an electrical-readiness decision funnel.</t>
  </si>
  <si>
    <t>EV + panel readiness campaign idea for Hertz Electric</t>
  </si>
  <si>
    <t>Hi — I reviewed Hertz Electric’s current San Jose pages and saw you combine EV chargers, panel upgrades, Powerwall work, free estimates and rebate guidance. Campaign angle: ‘Before adding an EV charger or battery, make sure the electrical system underneath it is ready — and know which incentives may apply.’ I’d turn that into readiness FAQs, rebate explainer posts and estimate follow-ups. Same-Day Customer Growth Pack: $150 flat. Want two Hertz-specific examples first?</t>
  </si>
  <si>
    <t>https://thehertzelectric.com/</t>
  </si>
  <si>
    <t>2026-09-13</t>
  </si>
  <si>
    <t>1-800 WATER DAMAGE of West San Jose &amp; Sunnyvale</t>
  </si>
  <si>
    <t>Water / Fire / Mold / Sewage Restoration</t>
  </si>
  <si>
    <t>West San Jose / Sunnyvale, CA</t>
  </si>
  <si>
    <t>Current local franchise content publishes direct local email, 24/7 emergency service, residential/commercial restoration and a mitigation-to-reconstruction workflow.</t>
  </si>
  <si>
    <t>(408) 834-7773</t>
  </si>
  <si>
    <t>Murali.Sridharane@1800waterdamage.com</t>
  </si>
  <si>
    <t>Direct local email; 24/7 emergency business</t>
  </si>
  <si>
    <t>Market first-hour mitigation plus documentation and reconstruction as one calm recovery path.</t>
  </si>
  <si>
    <t>First-hour restoration campaign idea for 1-800 WATER DAMAGE</t>
  </si>
  <si>
    <t>Hi Murali — I reviewed the West San Jose / Sunnyvale restoration content and saw your local team handles water, fire, mold and sewage emergencies around the clock. Campaign angle: ‘The first hour is about stopping the damage and documenting what happens next.’ I’d turn that into emergency checklists, homeowner FAQs and insurance/reconstruction follow-ups. Same-Day Customer Growth Pack: $150 flat. Want two location-specific examples first?</t>
  </si>
  <si>
    <t>https://www.1800waterdamage.com/west-jose-sunnyvale/</t>
  </si>
  <si>
    <t>Ozone Service</t>
  </si>
  <si>
    <t>HVAC / Electrical / Panel / EV</t>
  </si>
  <si>
    <t>Current official pages publish 24/7 service, free estimates/diagnostics, written scope and price, panel upgrades, EV chargers, heat pumps, financing and rebate assistance.</t>
  </si>
  <si>
    <t>(669) 323-7077</t>
  </si>
  <si>
    <t>go@serviceozone.com</t>
  </si>
  <si>
    <t>Direct email; 24/7 service; free estimate</t>
  </si>
  <si>
    <t>Make written scope, rebates and cross-trade HVAC/electrical readiness the trust campaign.</t>
  </si>
  <si>
    <t>Written-scope + rebate campaign idea for Ozone Service</t>
  </si>
  <si>
    <t>Hi — I reviewed Ozone Service’s current pages and noticed you already solve several objections: free diagnostics, written scope before work, financing and rebate support across HVAC and electrical upgrades. I’d turn that into upgrade-readiness posts, rebate FAQs and estimate follow-ups. Same-Day Customer Growth Pack: $150 flat. Want two Ozone-specific examples first?</t>
  </si>
  <si>
    <t>https://serviceozone.com/</t>
  </si>
  <si>
    <t>Silicon Valley Building Service and Repair</t>
  </si>
  <si>
    <t>Remodeling / ADU / Additions</t>
  </si>
  <si>
    <t>San Jose / South Bay, CA</t>
  </si>
  <si>
    <t>Official pages publish free estimates, fixed-price written scopes, same-day replies during business hours, remodeling, ADUs and additions.</t>
  </si>
  <si>
    <t>(408) 667-4946</t>
  </si>
  <si>
    <t>info@siliconvalleybuilding.com</t>
  </si>
  <si>
    <t>Direct email; usually same-day reply; free estimate</t>
  </si>
  <si>
    <t>Turn scope-first fixed pricing into a high-ticket remodeling decision campaign.</t>
  </si>
  <si>
    <t>Fixed-price remodeling decision-flow idea for SVBSR</t>
  </si>
  <si>
    <t>Hi — I reviewed SVBSR’s current process and noticed a strong trust angle: free estimate, written scope and fixed price before the work starts. Campaign idea: ‘Before committing to a remodel or ADU, make the scope and price understandable.’ I’d build planning FAQs, ADU/remodel posts and estimate follow-ups. $150 flat. Want two SVBSR-specific examples first?</t>
  </si>
  <si>
    <t>https://siliconvalleybuilding.com/</t>
  </si>
  <si>
    <t>Shefer Builder</t>
  </si>
  <si>
    <t>Remodeling / ADU / Additions / New Construction</t>
  </si>
  <si>
    <t>Official site publishes direct email, free estimates, ADU/garage conversion, room and second-story additions, general remodeling and Sunday hours 9 AM-7 PM.</t>
  </si>
  <si>
    <t>510-571-0060</t>
  </si>
  <si>
    <t>sheferbuilder@gmail.com</t>
  </si>
  <si>
    <t>Direct email; open Sunday; free estimate</t>
  </si>
  <si>
    <t>Use one-contractor continuity across remodel, ADU and addition work to simplify a complex project decision.</t>
  </si>
  <si>
    <t>ADU + addition decision-flow idea for Shefer Builder</t>
  </si>
  <si>
    <t>Hi — I reviewed Shefer Builder’s current services and saw you handle remodeling, ADUs, garage conversions and room/second-story additions. Campaign angle: ‘Before choosing finishes, make the project path — scope, added space and build sequence — easy to understand.’ I’d turn that into ADU/addition FAQs, project-planning posts and estimate follow-ups. Same-Day Customer Growth Pack: $150 flat. Want two Shefer-specific examples first?</t>
  </si>
  <si>
    <t>https://sheferbuilder.com/</t>
  </si>
  <si>
    <t>California Bay Builders &amp; Remodeling</t>
  </si>
  <si>
    <t>ADU / Remodeling / Design-Build</t>
  </si>
  <si>
    <t>Official San Jose ADU pages publish a direct email, free consultation, turnkey design-build service, permitting support and owner-led delivery.</t>
  </si>
  <si>
    <t>(800) 209-0051</t>
  </si>
  <si>
    <t>info@californiabaybuildersandremodeling.com</t>
  </si>
  <si>
    <t>Direct email; free consultation</t>
  </si>
  <si>
    <t>Turn lot feasibility, permitting and turnkey delivery into a pre-design decision funnel.</t>
  </si>
  <si>
    <t>San Jose ADU feasibility campaign idea</t>
  </si>
  <si>
    <t>Hi — I reviewed your San Jose ADU pages and noticed the free consultation already answers the right first question: what can actually be built on this lot before the owner spends money on design. I’d turn that into feasibility FAQs, permit/process posts and consultation follow-ups. Same-Day Customer Growth Pack: $150 flat. Want two California Bay Builders-specific examples first?</t>
  </si>
  <si>
    <t>https://californiabaybuildersandremodeling.com/adu-builder-san-jose/</t>
  </si>
  <si>
    <t>Atra Construction</t>
  </si>
  <si>
    <t>ADU / Design / Construction Management</t>
  </si>
  <si>
    <t>Current official site publishes direct email, free ADU consultations, design options, permit/concept planning and construction management for Bay Area ADU projects.</t>
  </si>
  <si>
    <t>925-238-3141</t>
  </si>
  <si>
    <t>info@atraconstruction.com</t>
  </si>
  <si>
    <t>Use concept-to-permit-to-build continuity to reduce uncertainty before an ADU project begins.</t>
  </si>
  <si>
    <t>Concept-to-build ADU campaign idea for Atra</t>
  </si>
  <si>
    <t>Hi — I reviewed Atra Construction’s current ADU process and saw a strong customer story in the sequence itself: free consultation, design options, permit planning and construction management. I’d turn that into feasibility FAQs, project-stage posts and consultation follow-ups so prospects understand the path before committing. Same-Day Customer Growth Pack: $150 flat. Want two Atra-specific examples first?</t>
  </si>
  <si>
    <t>https://www.atraconstruction.com/</t>
  </si>
  <si>
    <t>South San Jose Electric</t>
  </si>
  <si>
    <t>Residential / Commercial Electrical</t>
  </si>
  <si>
    <t>San Jose, CA</t>
  </si>
  <si>
    <t>Current official site publishes direct email, free estimates, Monday-Sunday availability and high-value panel upgrades, rewiring and EV charger work.</t>
  </si>
  <si>
    <t>(669) 371-5273</t>
  </si>
  <si>
    <t>contact@southsanjoseelectric.com</t>
  </si>
  <si>
    <t>Direct email; seven-day availability; free estimate</t>
  </si>
  <si>
    <t>Build an electrical-capacity readiness campaign around panels, rewiring and EV additions.</t>
  </si>
  <si>
    <t>Electrical-capacity campaign idea for South San Jose Electric</t>
  </si>
  <si>
    <t>Hi — I reviewed South San Jose Electric’s current services. Panel upgrades, rewiring and EV chargers all answer the same question: ‘Is the electrical system ready for what I want to add next?’ I’d turn that into capacity-readiness posts, FAQs and estimate follow-ups. $150 flat. Want two business-specific examples first?</t>
  </si>
  <si>
    <t>https://southsanjoseelectric.com/</t>
  </si>
  <si>
    <t>RoofCraft Inc</t>
  </si>
  <si>
    <t>Roofing</t>
  </si>
  <si>
    <t>Sunnyvale / Bay Area, CA</t>
  </si>
  <si>
    <t>Official financing page publishes free estimates/inspections, financing from $1,000-$100,000, typical Bay Area roof-replacement ranges around $12,000-$40,000 and financing decisions often within minutes.</t>
  </si>
  <si>
    <t>(408) 904-8900</t>
  </si>
  <si>
    <t>info@roofcraftcompany.com</t>
  </si>
  <si>
    <t>Direct email; high-ticket roofing; financing</t>
  </si>
  <si>
    <t>Use inspection, realistic project ranges and financing education to reduce replacement uncertainty.</t>
  </si>
  <si>
    <t>High-ticket roof decision campaign idea for RoofCraft</t>
  </si>
  <si>
    <t>Hi — I reviewed RoofCraft’s current financing information. Publishing inspection guidance, realistic replacement ranges and financing options creates a strong trust angle: ‘Understand the roof condition, project range and payment options before committing.’ I’d build inspection posts, repair-vs-replacement FAQs and estimate follow-ups. $150 flat. Want two RoofCraft-specific examples first?</t>
  </si>
  <si>
    <t>https://roofcraftcompany.com/financing/</t>
  </si>
  <si>
    <t>SERVPRO of Mountain View, Los Altos</t>
  </si>
  <si>
    <t>Water / Fire / Mold / Storm / Construction</t>
  </si>
  <si>
    <t>Sunnyvale / Mountain View / Los Altos, CA</t>
  </si>
  <si>
    <t>Local SERVPRO pages publish 24/7 emergency restoration, construction and commercial services, a Sunnyvale office and a direct office email.</t>
  </si>
  <si>
    <t>(650) 770-2992</t>
  </si>
  <si>
    <t>office@SERVPROmtview.com</t>
  </si>
  <si>
    <t>Direct office email; 24/7 emergency service</t>
  </si>
  <si>
    <t>Explain mitigation-to-reconstruction continuity and commercial response in plain language.</t>
  </si>
  <si>
    <t>Mitigation-to-rebuild campaign idea for SERVPRO Mountain View</t>
  </si>
  <si>
    <t>Hi — I reviewed your local SERVPRO services and noticed the team handles emergency mitigation, commercial losses and reconstruction. Campaign angle: ‘Stop the damage first, then keep recovery moving without making the customer restart the process.’ I’d build first-hour checklists, commercial-response posts and reconstruction FAQs. $150 flat. Want two local examples first?</t>
  </si>
  <si>
    <t>https://www.servpromountainviewlosaltos.com/</t>
  </si>
  <si>
    <t>2026-09-12</t>
  </si>
  <si>
    <t>Courtesy Electric</t>
  </si>
  <si>
    <t>Electrical / Remodel / Service Upgrades</t>
  </si>
  <si>
    <t>Sunnyvale / South Bay, CA</t>
  </si>
  <si>
    <t>Official site publishes owner-operated electrical service, free estimates, new construction, remodeling, service upgrades and a direct business email.</t>
  </si>
  <si>
    <t>(408) 509-1017</t>
  </si>
  <si>
    <t>mike@courtesyelectric.us</t>
  </si>
  <si>
    <t>Direct owner/business email; free estimate</t>
  </si>
  <si>
    <t>Use owner-operated accountability plus upgrade/remodel scope clarity.</t>
  </si>
  <si>
    <t>Service-upgrade campaign idea for Courtesy Electric</t>
  </si>
  <si>
    <t>Hi Mike — I reviewed Courtesy Electric’s current services and think the owner-operated positioning can do more work in the marketing. Campaign angle: ‘For a remodel or service upgrade, know who is responsible for the electrical scope from estimate through completion.’ I’d build upgrade FAQs, remodel posts and estimate follow-ups. $150 flat. Want two Courtesy-specific examples first?</t>
  </si>
  <si>
    <t>https://courtesyelectric.us/</t>
  </si>
  <si>
    <t>408 Builders Inc</t>
  </si>
  <si>
    <t>Remodeling / ADU / New Construction</t>
  </si>
  <si>
    <t>Official pages publish kitchen/bath remodeling, ADUs and new-home construction, free on-site estimates, detailed proposals and a stated reply within one business day.</t>
  </si>
  <si>
    <t>(408) 609-1643</t>
  </si>
  <si>
    <t>info@408buildersinc.com</t>
  </si>
  <si>
    <t>Direct email; reply within one business day; free estimate</t>
  </si>
  <si>
    <t>Build a consultation-to-detailed-proposal funnel for high-ticket ADU/remodel leads.</t>
  </si>
  <si>
    <t>ADU + remodeling proposal-funnel idea for 408 Builders</t>
  </si>
  <si>
    <t>Hi — I reviewed 408 Builders’ current process and noticed you already give prospects a useful path: free on-site estimate followed by a detailed proposal. I’d turn that into ADU FAQs, project-planning posts and consultation follow-ups. Same-Day Customer Growth Pack: $150 flat. Want two 408 Builders-specific examples first?</t>
  </si>
  <si>
    <t>https://408buildersinc.com/</t>
  </si>
  <si>
    <t>AYH Remodeling &amp; Construction Inc</t>
  </si>
  <si>
    <t>Current site publishes free estimates, remodeling, ADUs/additions, structural and permit services, a direct email and Monday-Saturday 7 AM-7 PM hours.</t>
  </si>
  <si>
    <t>833-408-5179</t>
  </si>
  <si>
    <t>ayhremodelingandconstruction@gmail.com</t>
  </si>
  <si>
    <t>Direct email; Mon-Sat; free estimate</t>
  </si>
  <si>
    <t>Use permit, structural and build coordination to simplify the ADU/addition decision.</t>
  </si>
  <si>
    <t>ADU permit-to-build campaign idea for AYH</t>
  </si>
  <si>
    <t>Hi — I reviewed AYH’s current services and noticed you cover the parts homeowners often find most confusing on an ADU or addition: structural work, permits and construction. I’d turn that into ADU FAQs, permit/process posts and estimate follow-ups. Same-Day Customer Growth Pack: $150 flat. Want two AYH-specific examples first?</t>
  </si>
  <si>
    <t>https://ayhremodeling.com/</t>
  </si>
  <si>
    <t>Pylon Builders</t>
  </si>
  <si>
    <t>Remodeling / ADU / Design-Build</t>
  </si>
  <si>
    <t>Current pages publish high-ticket 2024-2026 remodeling/ADU ranges, free in-home consultations and a fixed-price proposal process.</t>
  </si>
  <si>
    <t>(650) 800-9755</t>
  </si>
  <si>
    <t>info@pylonbuilders.com</t>
  </si>
  <si>
    <t>Direct email; free in-home consultation</t>
  </si>
  <si>
    <t>Turn current local project ranges into consultation-driving budget education.</t>
  </si>
  <si>
    <t>Bay Area ADU budget campaign idea for Pylon Builders</t>
  </si>
  <si>
    <t>Hi — I reviewed Pylon Builders’ current remodeling/ADU information and saw you publish realistic local project ranges alongside a free in-home consultation. Campaign angle: ‘Use planning ranges to decide what is feasible before committing to design.’ I’d build cost/feasibility posts, ADU FAQs and consultation follow-ups. $150 flat. Want two Pylon-specific examples first?</t>
  </si>
  <si>
    <t>https://pylonbuilders.com/home-remodeling-santa-clara</t>
  </si>
  <si>
    <t>Home Additions San Jose</t>
  </si>
  <si>
    <t>Home Additions / ADU / Remodeling</t>
  </si>
  <si>
    <t>Official site publishes direct email, free itemized on-site estimates, design-build ADUs/additions/second stories, permit handling and Sunday appointments.</t>
  </si>
  <si>
    <t>info@homeadditionssanjose.com</t>
  </si>
  <si>
    <t>Direct email; free estimate; Sunday by appointment</t>
  </si>
  <si>
    <t>Use feasibility-to-itemized-estimate planning as a high-ticket addition/ADU funnel.</t>
  </si>
  <si>
    <t>Addition + ADU feasibility campaign idea</t>
  </si>
  <si>
    <t>Hi — I reviewed Home Additions San Jose and saw you handle additions, ADUs and second-story projects with design, permits and free itemized estimates. Campaign angle: ‘Before designing a major addition, establish what is feasible, what needs permitting and what the project scope should include.’ I’d build feasibility FAQs and estimate follow-ups. $150 flat. Want two examples first?</t>
  </si>
  <si>
    <t>https://www.homeadditionssanjose.com/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</si>
  <si>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</si>
  <si>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</si>
  <si>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</si>
  <si>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</si>
  <si>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</si>
  <si>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</si>
  <si>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</si>
  <si>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</si>
  <si>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</si>
  <si>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</si>
  <si>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</si>
  <si>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</si>
  <si>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</si>
  <si>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</si>
  <si>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</si>
  <si>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</si>
  <si>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</si>
  <si>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</si>
  <si>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</si>
  <si>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</si>
  <si>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</si>
  <si>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</si>
  <si>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</si>
  <si>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</si>
  <si>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</si>
  <si>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</si>
  <si>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</si>
  <si>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</si>
  <si>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</si>
  <si>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</si>
  <si>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</si>
  <si>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</si>
  <si>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</si>
  <si>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</si>
  <si>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</si>
  <si>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</si>
  <si>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</si>
  <si>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</si>
  <si>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</si>
  <si>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</si>
  <si>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</si>
  <si>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</si>
  <si>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</si>
  <si>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</si>
  <si>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</si>
  <si>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</si>
  <si>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</si>
  <si>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</si>
  <si>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</si>
  <si>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</si>
  <si>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</si>
  <si>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</si>
  <si>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</si>
  <si>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</si>
  <si>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</si>
  <si>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</si>
  <si>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</si>
  <si>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New verified lead added 2026-09-12; no outreach recorded. Use individualized initial pitch.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</si>
  <si>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</si>
  <si>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</si>
  <si>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</si>
  <si>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</si>
  <si>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</si>
  <si>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</si>
  <si>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</si>
  <si>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</si>
  <si>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</si>
  <si>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</si>
  <si>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</si>
  <si>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</si>
  <si>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</si>
  <si>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</si>
  <si>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</si>
  <si>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</si>
  <si>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</si>
  <si>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</si>
  <si>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</si>
  <si>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</si>
  <si>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</si>
  <si>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</si>
  <si>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</si>
  <si>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</si>
  <si>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</si>
  <si>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</si>
  <si>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</si>
  <si>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</si>
  <si>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</si>
  <si>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</si>
  <si>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</si>
  <si>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</si>
  <si>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</si>
  <si>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</si>
  <si>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</si>
  <si>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</si>
  <si>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</si>
  <si>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</si>
  <si>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</si>
  <si>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</si>
  <si>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</si>
  <si>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</si>
  <si>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</si>
  <si>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</si>
  <si>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</si>
  <si>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</si>
  <si>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</si>
  <si>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</si>
  <si>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</si>
  <si>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</si>
  <si>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</si>
  <si>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</si>
  <si>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</si>
  <si>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</si>
  <si>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</si>
  <si>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</si>
  <si>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</si>
  <si>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</si>
  <si>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</si>
  <si>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</si>
  <si>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</si>
  <si>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</si>
  <si>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</si>
  <si>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</si>
  <si>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</si>
  <si>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</si>
  <si>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</si>
  <si>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</si>
  <si>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</si>
  <si>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</si>
  <si>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</si>
  <si>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</si>
  <si>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Archived</t>
  </si>
  <si>
    <t>Leader Restoration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</si>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</sst>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ckdevelopment.com/" TargetMode="External"/><Relationship Id="rId2" Type="http://schemas.openxmlformats.org/officeDocument/2006/relationships/hyperlink" Target="https://foxelectrician.com/services/ev-charger-installation/san-jose/" TargetMode="External"/><Relationship Id="rId3" Type="http://schemas.openxmlformats.org/officeDocument/2006/relationships/hyperlink" Target="https://www.emcremodels.com/" TargetMode="External"/><Relationship Id="rId4" Type="http://schemas.openxmlformats.org/officeDocument/2006/relationships/hyperlink" Target="https://primeworkconstructionca.com/" TargetMode="External"/><Relationship Id="rId5" Type="http://schemas.openxmlformats.org/officeDocument/2006/relationships/hyperlink" Target="https://baycobuildersandrestoration.com/" TargetMode="External"/><Relationship Id="rId6" Type="http://schemas.openxmlformats.org/officeDocument/2006/relationships/hyperlink" Target="https://thehertzelectric.com/" TargetMode="External"/><Relationship Id="rId7" Type="http://schemas.openxmlformats.org/officeDocument/2006/relationships/hyperlink" Target="https://www.1800waterdamage.com/west-jose-sunnyvale/" TargetMode="External"/><Relationship Id="rId8" Type="http://schemas.openxmlformats.org/officeDocument/2006/relationships/hyperlink" Target="https://serviceozone.com/" TargetMode="External"/><Relationship Id="rId9" Type="http://schemas.openxmlformats.org/officeDocument/2006/relationships/hyperlink" Target="https://siliconvalleybuilding.com/" TargetMode="External"/><Relationship Id="rId10" Type="http://schemas.openxmlformats.org/officeDocument/2006/relationships/hyperlink" Target="https://sheferbuilder.com/" TargetMode="External"/><Relationship Id="rId11" Type="http://schemas.openxmlformats.org/officeDocument/2006/relationships/hyperlink" Target="https://californiabaybuildersandremodeling.com/adu-builder-san-jose/" TargetMode="External"/><Relationship Id="rId12" Type="http://schemas.openxmlformats.org/officeDocument/2006/relationships/hyperlink" Target="https://www.atraconstruction.com/" TargetMode="External"/><Relationship Id="rId13" Type="http://schemas.openxmlformats.org/officeDocument/2006/relationships/hyperlink" Target="https://southsanjoseelectric.com/" TargetMode="External"/><Relationship Id="rId14" Type="http://schemas.openxmlformats.org/officeDocument/2006/relationships/hyperlink" Target="https://roofcraftcompany.com/financing/" TargetMode="External"/><Relationship Id="rId15" Type="http://schemas.openxmlformats.org/officeDocument/2006/relationships/hyperlink" Target="https://www.servpromountainviewlosaltos.com/" TargetMode="External"/><Relationship Id="rId16" Type="http://schemas.openxmlformats.org/officeDocument/2006/relationships/hyperlink" Target="https://courtesyelectric.us/" TargetMode="External"/><Relationship Id="rId17" Type="http://schemas.openxmlformats.org/officeDocument/2006/relationships/hyperlink" Target="https://408buildersinc.com/" TargetMode="External"/><Relationship Id="rId18" Type="http://schemas.openxmlformats.org/officeDocument/2006/relationships/hyperlink" Target="https://ayhremodeling.com/" TargetMode="External"/><Relationship Id="rId19" Type="http://schemas.openxmlformats.org/officeDocument/2006/relationships/hyperlink" Target="https://pylonbuilders.com/home-remodeling-santa-clara" TargetMode="External"/><Relationship Id="rId20" Type="http://schemas.openxmlformats.org/officeDocument/2006/relationships/hyperlink" Target="https://www.homeadditionssanjose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ckdevelopment.com/" TargetMode="External"/><Relationship Id="rId2" Type="http://schemas.openxmlformats.org/officeDocument/2006/relationships/hyperlink" Target="https://foxelectrician.com/services/ev-charger-installation/san-jose/" TargetMode="External"/><Relationship Id="rId3" Type="http://schemas.openxmlformats.org/officeDocument/2006/relationships/hyperlink" Target="https://www.emcremodels.com/" TargetMode="External"/><Relationship Id="rId4" Type="http://schemas.openxmlformats.org/officeDocument/2006/relationships/hyperlink" Target="https://primeworkconstructionca.com/" TargetMode="External"/><Relationship Id="rId5" Type="http://schemas.openxmlformats.org/officeDocument/2006/relationships/hyperlink" Target="https://baycobuildersandrestoration.com/" TargetMode="External"/><Relationship Id="rId6" Type="http://schemas.openxmlformats.org/officeDocument/2006/relationships/hyperlink" Target="https://thehertzelectric.com/" TargetMode="External"/><Relationship Id="rId7" Type="http://schemas.openxmlformats.org/officeDocument/2006/relationships/hyperlink" Target="https://www.1800waterdamage.com/west-jose-sunnyvale/" TargetMode="External"/><Relationship Id="rId8" Type="http://schemas.openxmlformats.org/officeDocument/2006/relationships/hyperlink" Target="https://serviceozone.com/" TargetMode="External"/><Relationship Id="rId9" Type="http://schemas.openxmlformats.org/officeDocument/2006/relationships/hyperlink" Target="https://siliconvalleybuilding.com/" TargetMode="External"/><Relationship Id="rId10" Type="http://schemas.openxmlformats.org/officeDocument/2006/relationships/hyperlink" Target="https://sheferbuilder.com/" TargetMode="External"/><Relationship Id="rId11" Type="http://schemas.openxmlformats.org/officeDocument/2006/relationships/hyperlink" Target="https://californiabaybuildersandremodeling.com/adu-builder-san-jose/" TargetMode="External"/><Relationship Id="rId12" Type="http://schemas.openxmlformats.org/officeDocument/2006/relationships/hyperlink" Target="https://www.atraconstruction.com/" TargetMode="External"/><Relationship Id="rId13" Type="http://schemas.openxmlformats.org/officeDocument/2006/relationships/hyperlink" Target="https://southsanjoseelectric.com/" TargetMode="External"/><Relationship Id="rId14" Type="http://schemas.openxmlformats.org/officeDocument/2006/relationships/hyperlink" Target="https://roofcraftcompany.com/financing/" TargetMode="External"/><Relationship Id="rId15" Type="http://schemas.openxmlformats.org/officeDocument/2006/relationships/hyperlink" Target="https://www.servpromountainviewlosaltos.com/" TargetMode="External"/><Relationship Id="rId16" Type="http://schemas.openxmlformats.org/officeDocument/2006/relationships/hyperlink" Target="https://courtesyelectric.us/" TargetMode="External"/><Relationship Id="rId17" Type="http://schemas.openxmlformats.org/officeDocument/2006/relationships/hyperlink" Target="https://408buildersinc.com/" TargetMode="External"/><Relationship Id="rId18" Type="http://schemas.openxmlformats.org/officeDocument/2006/relationships/hyperlink" Target="https://ayhremodeling.com/" TargetMode="External"/><Relationship Id="rId19" Type="http://schemas.openxmlformats.org/officeDocument/2006/relationships/hyperlink" Target="https://pylonbuilders.com/home-remodeling-santa-clara" TargetMode="External"/><Relationship Id="rId20" Type="http://schemas.openxmlformats.org/officeDocument/2006/relationships/hyperlink" Target="https://www.homeadditionssanjose.com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ckdevelopment.com/" TargetMode="External"/><Relationship Id="rId2" Type="http://schemas.openxmlformats.org/officeDocument/2006/relationships/hyperlink" Target="https://foxelectrician.com/services/ev-charger-installation/san-jose/" TargetMode="External"/><Relationship Id="rId3" Type="http://schemas.openxmlformats.org/officeDocument/2006/relationships/hyperlink" Target="https://www.emcremodels.com/" TargetMode="External"/><Relationship Id="rId4" Type="http://schemas.openxmlformats.org/officeDocument/2006/relationships/hyperlink" Target="https://primeworkconstructionca.com/" TargetMode="External"/><Relationship Id="rId5" Type="http://schemas.openxmlformats.org/officeDocument/2006/relationships/hyperlink" Target="https://baycobuildersandrestoration.com/" TargetMode="External"/><Relationship Id="rId6" Type="http://schemas.openxmlformats.org/officeDocument/2006/relationships/hyperlink" Target="https://thehertzelectric.com/" TargetMode="External"/><Relationship Id="rId7" Type="http://schemas.openxmlformats.org/officeDocument/2006/relationships/hyperlink" Target="https://www.1800waterdamage.com/west-jose-sunnyvale/" TargetMode="External"/><Relationship Id="rId8" Type="http://schemas.openxmlformats.org/officeDocument/2006/relationships/hyperlink" Target="https://serviceozone.com/" TargetMode="External"/><Relationship Id="rId9" Type="http://schemas.openxmlformats.org/officeDocument/2006/relationships/hyperlink" Target="https://siliconvalleybuilding.com/" TargetMode="External"/><Relationship Id="rId10" Type="http://schemas.openxmlformats.org/officeDocument/2006/relationships/hyperlink" Target="https://sheferbuilder.com/" TargetMode="External"/><Relationship Id="rId11" Type="http://schemas.openxmlformats.org/officeDocument/2006/relationships/hyperlink" Target="https://californiabaybuildersandremodeling.com/adu-builder-san-jose/" TargetMode="External"/><Relationship Id="rId12" Type="http://schemas.openxmlformats.org/officeDocument/2006/relationships/hyperlink" Target="https://www.atraconstruction.com/" TargetMode="External"/><Relationship Id="rId13" Type="http://schemas.openxmlformats.org/officeDocument/2006/relationships/hyperlink" Target="https://southsanjoseelectric.com/" TargetMode="External"/><Relationship Id="rId14" Type="http://schemas.openxmlformats.org/officeDocument/2006/relationships/hyperlink" Target="https://roofcraftcompany.com/financing/" TargetMode="External"/><Relationship Id="rId15" Type="http://schemas.openxmlformats.org/officeDocument/2006/relationships/hyperlink" Target="https://www.servpromountainviewlosaltos.com/" TargetMode="External"/><Relationship Id="rId16" Type="http://schemas.openxmlformats.org/officeDocument/2006/relationships/hyperlink" Target="https://courtesyelectric.us/" TargetMode="External"/><Relationship Id="rId17" Type="http://schemas.openxmlformats.org/officeDocument/2006/relationships/hyperlink" Target="https://408buildersinc.com/" TargetMode="External"/><Relationship Id="rId18" Type="http://schemas.openxmlformats.org/officeDocument/2006/relationships/hyperlink" Target="https://ayhremodeling.com/" TargetMode="External"/><Relationship Id="rId19" Type="http://schemas.openxmlformats.org/officeDocument/2006/relationships/hyperlink" Target="https://pylonbuilders.com/home-remodeling-santa-clara" TargetMode="External"/><Relationship Id="rId20" Type="http://schemas.openxmlformats.org/officeDocument/2006/relationships/hyperlink" Target="https://www.homeadditionssanjos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17</v>
      </c>
      <c r="E4" s="2" t="s">
        <v>18</v>
      </c>
      <c r="F4" s="2" t="s">
        <v>41</v>
      </c>
      <c r="G4" s="2" t="s">
        <v>42</v>
      </c>
      <c r="H4" s="2" t="s">
        <v>43</v>
      </c>
      <c r="I4" s="2" t="s">
        <v>44</v>
      </c>
      <c r="J4" s="2" t="s">
        <v>45</v>
      </c>
      <c r="K4" s="2" t="s">
        <v>46</v>
      </c>
      <c r="L4" s="2" t="s">
        <v>47</v>
      </c>
      <c r="M4" s="2" t="s">
        <v>48</v>
      </c>
      <c r="N4" s="2" t="s">
        <v>27</v>
      </c>
      <c r="O4" s="2" t="s">
        <v>28</v>
      </c>
    </row>
    <row r="5" spans="1:15">
      <c r="A5" s="2">
        <v>4</v>
      </c>
      <c r="B5" s="2" t="s">
        <v>49</v>
      </c>
      <c r="C5" s="2" t="s">
        <v>50</v>
      </c>
      <c r="D5" s="2" t="s">
        <v>17</v>
      </c>
      <c r="E5" s="2" t="s">
        <v>18</v>
      </c>
      <c r="F5" s="2" t="s">
        <v>51</v>
      </c>
      <c r="G5" s="2" t="s">
        <v>52</v>
      </c>
      <c r="H5" s="2" t="s">
        <v>53</v>
      </c>
      <c r="I5" s="2" t="s">
        <v>54</v>
      </c>
      <c r="J5" s="2" t="s">
        <v>55</v>
      </c>
      <c r="K5" s="2" t="s">
        <v>56</v>
      </c>
      <c r="L5" s="2" t="s">
        <v>57</v>
      </c>
      <c r="M5" s="2" t="s">
        <v>58</v>
      </c>
      <c r="N5" s="2" t="s">
        <v>27</v>
      </c>
      <c r="O5" s="2" t="s">
        <v>28</v>
      </c>
    </row>
    <row r="6" spans="1:15">
      <c r="A6" s="2">
        <v>5</v>
      </c>
      <c r="B6" s="2" t="s">
        <v>59</v>
      </c>
      <c r="C6" s="2" t="s">
        <v>60</v>
      </c>
      <c r="D6" s="2" t="s">
        <v>17</v>
      </c>
      <c r="E6" s="2" t="s">
        <v>18</v>
      </c>
      <c r="F6" s="2" t="s">
        <v>61</v>
      </c>
      <c r="G6" s="2" t="s">
        <v>62</v>
      </c>
      <c r="H6" s="2" t="s">
        <v>63</v>
      </c>
      <c r="I6" s="2" t="s">
        <v>64</v>
      </c>
      <c r="J6" s="2" t="s">
        <v>65</v>
      </c>
      <c r="K6" s="2" t="s">
        <v>66</v>
      </c>
      <c r="L6" s="2" t="s">
        <v>67</v>
      </c>
      <c r="M6" s="2" t="s">
        <v>68</v>
      </c>
      <c r="N6" s="2" t="s">
        <v>27</v>
      </c>
      <c r="O6" s="2" t="s">
        <v>28</v>
      </c>
    </row>
    <row r="7" spans="1:15">
      <c r="A7" s="2">
        <v>6</v>
      </c>
      <c r="B7" s="2" t="s">
        <v>69</v>
      </c>
      <c r="C7" s="2" t="s">
        <v>70</v>
      </c>
      <c r="D7" s="2" t="s">
        <v>17</v>
      </c>
      <c r="E7" s="2" t="s">
        <v>18</v>
      </c>
      <c r="F7" s="2" t="s">
        <v>71</v>
      </c>
      <c r="G7" s="2" t="s">
        <v>72</v>
      </c>
      <c r="H7" s="2" t="s">
        <v>73</v>
      </c>
      <c r="I7" s="2" t="s">
        <v>74</v>
      </c>
      <c r="J7" s="2" t="s">
        <v>75</v>
      </c>
      <c r="K7" s="2" t="s">
        <v>76</v>
      </c>
      <c r="L7" s="2" t="s">
        <v>77</v>
      </c>
      <c r="M7" s="2" t="s">
        <v>78</v>
      </c>
      <c r="N7" s="2" t="s">
        <v>79</v>
      </c>
      <c r="O7" s="2" t="s">
        <v>28</v>
      </c>
    </row>
    <row r="8" spans="1:15">
      <c r="A8" s="2">
        <v>7</v>
      </c>
      <c r="B8" s="2" t="s">
        <v>80</v>
      </c>
      <c r="C8" s="2" t="s">
        <v>81</v>
      </c>
      <c r="D8" s="2" t="s">
        <v>82</v>
      </c>
      <c r="E8" s="2" t="s">
        <v>18</v>
      </c>
      <c r="F8" s="2" t="s">
        <v>83</v>
      </c>
      <c r="G8" s="2" t="s">
        <v>84</v>
      </c>
      <c r="H8" s="2" t="s">
        <v>85</v>
      </c>
      <c r="I8" s="2" t="s">
        <v>86</v>
      </c>
      <c r="J8" s="2" t="s">
        <v>87</v>
      </c>
      <c r="K8" s="2" t="s">
        <v>88</v>
      </c>
      <c r="L8" s="2" t="s">
        <v>89</v>
      </c>
      <c r="M8" s="2" t="s">
        <v>90</v>
      </c>
      <c r="N8" s="2" t="s">
        <v>79</v>
      </c>
      <c r="O8" s="2" t="s">
        <v>28</v>
      </c>
    </row>
    <row r="9" spans="1:15">
      <c r="A9" s="2">
        <v>8</v>
      </c>
      <c r="B9" s="2" t="s">
        <v>91</v>
      </c>
      <c r="C9" s="2" t="s">
        <v>92</v>
      </c>
      <c r="D9" s="2" t="s">
        <v>17</v>
      </c>
      <c r="E9" s="2" t="s">
        <v>18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99</v>
      </c>
      <c r="M9" s="2" t="s">
        <v>100</v>
      </c>
      <c r="N9" s="2" t="s">
        <v>79</v>
      </c>
      <c r="O9" s="2" t="s">
        <v>28</v>
      </c>
    </row>
    <row r="10" spans="1:15">
      <c r="A10" s="2">
        <v>9</v>
      </c>
      <c r="B10" s="2" t="s">
        <v>101</v>
      </c>
      <c r="C10" s="2" t="s">
        <v>102</v>
      </c>
      <c r="D10" s="2" t="s">
        <v>103</v>
      </c>
      <c r="E10" s="2" t="s">
        <v>18</v>
      </c>
      <c r="F10" s="2" t="s">
        <v>104</v>
      </c>
      <c r="G10" s="2" t="s">
        <v>105</v>
      </c>
      <c r="H10" s="2" t="s">
        <v>106</v>
      </c>
      <c r="I10" s="2" t="s">
        <v>107</v>
      </c>
      <c r="J10" s="2" t="s">
        <v>108</v>
      </c>
      <c r="K10" s="2" t="s">
        <v>109</v>
      </c>
      <c r="L10" s="2" t="s">
        <v>110</v>
      </c>
      <c r="M10" s="2" t="s">
        <v>111</v>
      </c>
      <c r="N10" s="2" t="s">
        <v>79</v>
      </c>
      <c r="O10" s="2" t="s">
        <v>28</v>
      </c>
    </row>
    <row r="11" spans="1:15">
      <c r="A11" s="2">
        <v>10</v>
      </c>
      <c r="B11" s="2" t="s">
        <v>112</v>
      </c>
      <c r="C11" s="2" t="s">
        <v>113</v>
      </c>
      <c r="D11" s="2" t="s">
        <v>17</v>
      </c>
      <c r="E11" s="2" t="s">
        <v>18</v>
      </c>
      <c r="F11" s="2" t="s">
        <v>114</v>
      </c>
      <c r="G11" s="2" t="s">
        <v>115</v>
      </c>
      <c r="H11" s="2" t="s">
        <v>116</v>
      </c>
      <c r="I11" s="2" t="s">
        <v>117</v>
      </c>
      <c r="J11" s="2" t="s">
        <v>118</v>
      </c>
      <c r="K11" s="2" t="s">
        <v>119</v>
      </c>
      <c r="L11" s="2" t="s">
        <v>120</v>
      </c>
      <c r="M11" s="2" t="s">
        <v>121</v>
      </c>
      <c r="N11" s="2" t="s">
        <v>79</v>
      </c>
      <c r="O11" s="2" t="s">
        <v>28</v>
      </c>
    </row>
    <row r="12" spans="1:15">
      <c r="A12" s="2">
        <v>11</v>
      </c>
      <c r="B12" s="2" t="s">
        <v>122</v>
      </c>
      <c r="C12" s="2" t="s">
        <v>123</v>
      </c>
      <c r="D12" s="2" t="s">
        <v>17</v>
      </c>
      <c r="E12" s="2" t="s">
        <v>18</v>
      </c>
      <c r="F12" s="2" t="s">
        <v>124</v>
      </c>
      <c r="G12" s="2" t="s">
        <v>125</v>
      </c>
      <c r="H12" s="2" t="s">
        <v>126</v>
      </c>
      <c r="I12" s="2" t="s">
        <v>127</v>
      </c>
      <c r="J12" s="2" t="s">
        <v>128</v>
      </c>
      <c r="K12" s="2" t="s">
        <v>129</v>
      </c>
      <c r="L12" s="2" t="s">
        <v>130</v>
      </c>
      <c r="M12" s="2" t="s">
        <v>131</v>
      </c>
      <c r="N12" s="2" t="s">
        <v>79</v>
      </c>
      <c r="O12" s="2" t="s">
        <v>28</v>
      </c>
    </row>
    <row r="13" spans="1:15">
      <c r="A13" s="2">
        <v>12</v>
      </c>
      <c r="B13" s="2" t="s">
        <v>132</v>
      </c>
      <c r="C13" s="2" t="s">
        <v>133</v>
      </c>
      <c r="D13" s="2" t="s">
        <v>17</v>
      </c>
      <c r="E13" s="2" t="s">
        <v>18</v>
      </c>
      <c r="F13" s="2" t="s">
        <v>134</v>
      </c>
      <c r="G13" s="2" t="s">
        <v>135</v>
      </c>
      <c r="H13" s="2" t="s">
        <v>136</v>
      </c>
      <c r="I13" s="2" t="s">
        <v>127</v>
      </c>
      <c r="J13" s="2" t="s">
        <v>137</v>
      </c>
      <c r="K13" s="2" t="s">
        <v>138</v>
      </c>
      <c r="L13" s="2" t="s">
        <v>139</v>
      </c>
      <c r="M13" s="2" t="s">
        <v>140</v>
      </c>
      <c r="N13" s="2" t="s">
        <v>79</v>
      </c>
      <c r="O13" s="2" t="s">
        <v>28</v>
      </c>
    </row>
    <row r="14" spans="1:15">
      <c r="A14" s="2">
        <v>13</v>
      </c>
      <c r="B14" s="2" t="s">
        <v>141</v>
      </c>
      <c r="C14" s="2" t="s">
        <v>142</v>
      </c>
      <c r="D14" s="2" t="s">
        <v>143</v>
      </c>
      <c r="E14" s="2" t="s">
        <v>18</v>
      </c>
      <c r="F14" s="2" t="s">
        <v>144</v>
      </c>
      <c r="G14" s="2" t="s">
        <v>145</v>
      </c>
      <c r="H14" s="2" t="s">
        <v>146</v>
      </c>
      <c r="I14" s="2" t="s">
        <v>147</v>
      </c>
      <c r="J14" s="2" t="s">
        <v>148</v>
      </c>
      <c r="K14" s="2" t="s">
        <v>149</v>
      </c>
      <c r="L14" s="2" t="s">
        <v>150</v>
      </c>
      <c r="M14" s="2" t="s">
        <v>151</v>
      </c>
      <c r="N14" s="2" t="s">
        <v>79</v>
      </c>
      <c r="O14" s="2" t="s">
        <v>28</v>
      </c>
    </row>
    <row r="15" spans="1:15">
      <c r="A15" s="2">
        <v>14</v>
      </c>
      <c r="B15" s="2" t="s">
        <v>152</v>
      </c>
      <c r="C15" s="2" t="s">
        <v>153</v>
      </c>
      <c r="D15" s="2" t="s">
        <v>154</v>
      </c>
      <c r="E15" s="2" t="s">
        <v>18</v>
      </c>
      <c r="F15" s="2" t="s">
        <v>155</v>
      </c>
      <c r="G15" s="2" t="s">
        <v>156</v>
      </c>
      <c r="H15" s="2" t="s">
        <v>157</v>
      </c>
      <c r="I15" s="2" t="s">
        <v>158</v>
      </c>
      <c r="J15" s="2" t="s">
        <v>159</v>
      </c>
      <c r="K15" s="2" t="s">
        <v>160</v>
      </c>
      <c r="L15" s="2" t="s">
        <v>161</v>
      </c>
      <c r="M15" s="2" t="s">
        <v>162</v>
      </c>
      <c r="N15" s="2" t="s">
        <v>79</v>
      </c>
      <c r="O15" s="2" t="s">
        <v>28</v>
      </c>
    </row>
    <row r="16" spans="1:15">
      <c r="A16" s="2">
        <v>15</v>
      </c>
      <c r="B16" s="2" t="s">
        <v>163</v>
      </c>
      <c r="C16" s="2" t="s">
        <v>164</v>
      </c>
      <c r="D16" s="2" t="s">
        <v>165</v>
      </c>
      <c r="E16" s="2" t="s">
        <v>18</v>
      </c>
      <c r="F16" s="2" t="s">
        <v>166</v>
      </c>
      <c r="G16" s="2" t="s">
        <v>167</v>
      </c>
      <c r="H16" s="2" t="s">
        <v>168</v>
      </c>
      <c r="I16" s="2" t="s">
        <v>169</v>
      </c>
      <c r="J16" s="2" t="s">
        <v>170</v>
      </c>
      <c r="K16" s="2" t="s">
        <v>171</v>
      </c>
      <c r="L16" s="2" t="s">
        <v>172</v>
      </c>
      <c r="M16" s="2" t="s">
        <v>173</v>
      </c>
      <c r="N16" s="2" t="s">
        <v>174</v>
      </c>
      <c r="O16" s="2" t="s">
        <v>28</v>
      </c>
    </row>
    <row r="17" spans="1:15">
      <c r="A17" s="2">
        <v>16</v>
      </c>
      <c r="B17" s="2" t="s">
        <v>175</v>
      </c>
      <c r="C17" s="2" t="s">
        <v>176</v>
      </c>
      <c r="D17" s="2" t="s">
        <v>177</v>
      </c>
      <c r="E17" s="2" t="s">
        <v>18</v>
      </c>
      <c r="F17" s="2" t="s">
        <v>178</v>
      </c>
      <c r="G17" s="2" t="s">
        <v>179</v>
      </c>
      <c r="H17" s="2" t="s">
        <v>180</v>
      </c>
      <c r="I17" s="2" t="s">
        <v>181</v>
      </c>
      <c r="J17" s="2" t="s">
        <v>182</v>
      </c>
      <c r="K17" s="2" t="s">
        <v>183</v>
      </c>
      <c r="L17" s="2" t="s">
        <v>184</v>
      </c>
      <c r="M17" s="2" t="s">
        <v>185</v>
      </c>
      <c r="N17" s="2" t="s">
        <v>174</v>
      </c>
      <c r="O17" s="2" t="s">
        <v>28</v>
      </c>
    </row>
    <row r="18" spans="1:15">
      <c r="A18" s="2">
        <v>17</v>
      </c>
      <c r="B18" s="2" t="s">
        <v>186</v>
      </c>
      <c r="C18" s="2" t="s">
        <v>187</v>
      </c>
      <c r="D18" s="2" t="s">
        <v>143</v>
      </c>
      <c r="E18" s="2" t="s">
        <v>18</v>
      </c>
      <c r="F18" s="2" t="s">
        <v>188</v>
      </c>
      <c r="G18" s="2" t="s">
        <v>189</v>
      </c>
      <c r="H18" s="2" t="s">
        <v>190</v>
      </c>
      <c r="I18" s="2" t="s">
        <v>191</v>
      </c>
      <c r="J18" s="2" t="s">
        <v>192</v>
      </c>
      <c r="K18" s="2" t="s">
        <v>193</v>
      </c>
      <c r="L18" s="2" t="s">
        <v>194</v>
      </c>
      <c r="M18" s="2" t="s">
        <v>195</v>
      </c>
      <c r="N18" s="2" t="s">
        <v>174</v>
      </c>
      <c r="O18" s="2" t="s">
        <v>28</v>
      </c>
    </row>
    <row r="19" spans="1:15">
      <c r="A19" s="2">
        <v>18</v>
      </c>
      <c r="B19" s="2" t="s">
        <v>196</v>
      </c>
      <c r="C19" s="2" t="s">
        <v>102</v>
      </c>
      <c r="D19" s="2" t="s">
        <v>17</v>
      </c>
      <c r="E19" s="2" t="s">
        <v>18</v>
      </c>
      <c r="F19" s="2" t="s">
        <v>197</v>
      </c>
      <c r="G19" s="2" t="s">
        <v>198</v>
      </c>
      <c r="H19" s="2" t="s">
        <v>199</v>
      </c>
      <c r="I19" s="2" t="s">
        <v>200</v>
      </c>
      <c r="J19" s="2" t="s">
        <v>201</v>
      </c>
      <c r="K19" s="2" t="s">
        <v>202</v>
      </c>
      <c r="L19" s="2" t="s">
        <v>203</v>
      </c>
      <c r="M19" s="2" t="s">
        <v>204</v>
      </c>
      <c r="N19" s="2" t="s">
        <v>174</v>
      </c>
      <c r="O19" s="2" t="s">
        <v>28</v>
      </c>
    </row>
    <row r="20" spans="1:15">
      <c r="A20" s="2">
        <v>19</v>
      </c>
      <c r="B20" s="2" t="s">
        <v>205</v>
      </c>
      <c r="C20" s="2" t="s">
        <v>206</v>
      </c>
      <c r="D20" s="2" t="s">
        <v>154</v>
      </c>
      <c r="E20" s="2" t="s">
        <v>18</v>
      </c>
      <c r="F20" s="2" t="s">
        <v>207</v>
      </c>
      <c r="G20" s="2" t="s">
        <v>208</v>
      </c>
      <c r="H20" s="2" t="s">
        <v>209</v>
      </c>
      <c r="I20" s="2" t="s">
        <v>210</v>
      </c>
      <c r="J20" s="2" t="s">
        <v>211</v>
      </c>
      <c r="K20" s="2" t="s">
        <v>212</v>
      </c>
      <c r="L20" s="2" t="s">
        <v>213</v>
      </c>
      <c r="M20" s="2" t="s">
        <v>214</v>
      </c>
      <c r="N20" s="2" t="s">
        <v>79</v>
      </c>
      <c r="O20" s="2" t="s">
        <v>28</v>
      </c>
    </row>
    <row r="21" spans="1:15">
      <c r="A21" s="2">
        <v>20</v>
      </c>
      <c r="B21" s="2" t="s">
        <v>215</v>
      </c>
      <c r="C21" s="2" t="s">
        <v>216</v>
      </c>
      <c r="D21" s="2" t="s">
        <v>143</v>
      </c>
      <c r="E21" s="2" t="s">
        <v>18</v>
      </c>
      <c r="F21" s="2" t="s">
        <v>217</v>
      </c>
      <c r="G21" s="2"/>
      <c r="H21" s="2" t="s">
        <v>218</v>
      </c>
      <c r="I21" s="2" t="s">
        <v>219</v>
      </c>
      <c r="J21" s="2" t="s">
        <v>220</v>
      </c>
      <c r="K21" s="2" t="s">
        <v>221</v>
      </c>
      <c r="L21" s="2" t="s">
        <v>222</v>
      </c>
      <c r="M21" s="2" t="s">
        <v>223</v>
      </c>
      <c r="N21" s="2" t="s">
        <v>79</v>
      </c>
      <c r="O21" s="2" t="s">
        <v>28</v>
      </c>
    </row>
  </sheetData>
  <autoFilter ref="A1:O21"/>
  <conditionalFormatting sqref="E2:E2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  <hyperlink ref="M12" r:id="rId11"/>
    <hyperlink ref="M13" r:id="rId12"/>
    <hyperlink ref="M14" r:id="rId13"/>
    <hyperlink ref="M15" r:id="rId14"/>
    <hyperlink ref="M16" r:id="rId15"/>
    <hyperlink ref="M17" r:id="rId16"/>
    <hyperlink ref="M18" r:id="rId17"/>
    <hyperlink ref="M19" r:id="rId18"/>
    <hyperlink ref="M20" r:id="rId19"/>
    <hyperlink ref="M21" r:id="rId2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224</v>
      </c>
      <c r="B1" s="1" t="s">
        <v>225</v>
      </c>
      <c r="C1" s="1" t="s">
        <v>226</v>
      </c>
      <c r="D1" s="1" t="s">
        <v>227</v>
      </c>
    </row>
    <row r="2" spans="1:4">
      <c r="A2" s="2" t="s">
        <v>228</v>
      </c>
      <c r="B2" s="2" t="s">
        <v>229</v>
      </c>
      <c r="C2" s="2" t="s">
        <v>230</v>
      </c>
      <c r="D2" s="2" t="s">
        <v>231</v>
      </c>
    </row>
    <row r="3" spans="1:4">
      <c r="A3" s="2" t="s">
        <v>232</v>
      </c>
      <c r="B3" s="2" t="s">
        <v>233</v>
      </c>
      <c r="C3" s="2" t="s">
        <v>234</v>
      </c>
      <c r="D3" s="2" t="s">
        <v>235</v>
      </c>
    </row>
    <row r="4" spans="1:4">
      <c r="A4" s="2" t="s">
        <v>236</v>
      </c>
      <c r="B4" s="2" t="s">
        <v>237</v>
      </c>
      <c r="C4" s="2" t="s">
        <v>238</v>
      </c>
      <c r="D4" s="2" t="s">
        <v>239</v>
      </c>
    </row>
    <row r="5" spans="1:4">
      <c r="A5" s="2" t="s">
        <v>240</v>
      </c>
      <c r="B5" s="2" t="s">
        <v>241</v>
      </c>
      <c r="C5" s="2" t="s">
        <v>242</v>
      </c>
      <c r="D5" s="2" t="s">
        <v>243</v>
      </c>
    </row>
    <row r="6" spans="1:4">
      <c r="A6" s="2" t="s">
        <v>244</v>
      </c>
      <c r="B6" s="2" t="s">
        <v>245</v>
      </c>
      <c r="C6" s="2" t="s">
        <v>246</v>
      </c>
      <c r="D6" s="2" t="s">
        <v>247</v>
      </c>
    </row>
    <row r="7" spans="1:4">
      <c r="A7" s="2" t="s">
        <v>248</v>
      </c>
      <c r="B7" s="2" t="s">
        <v>249</v>
      </c>
      <c r="C7" s="2" t="s">
        <v>250</v>
      </c>
      <c r="D7" s="2" t="s">
        <v>251</v>
      </c>
    </row>
    <row r="8" spans="1:4">
      <c r="A8" s="2" t="s">
        <v>252</v>
      </c>
      <c r="B8" s="2" t="s">
        <v>253</v>
      </c>
      <c r="C8" s="2" t="s">
        <v>254</v>
      </c>
      <c r="D8" s="2" t="s">
        <v>255</v>
      </c>
    </row>
    <row r="9" spans="1:4">
      <c r="A9" s="2" t="s">
        <v>256</v>
      </c>
      <c r="B9" s="2" t="s">
        <v>257</v>
      </c>
      <c r="C9" s="2" t="s">
        <v>258</v>
      </c>
      <c r="D9" s="2" t="s">
        <v>259</v>
      </c>
    </row>
    <row r="10" spans="1:4">
      <c r="A10" s="2" t="s">
        <v>260</v>
      </c>
      <c r="B10" s="2" t="s">
        <v>261</v>
      </c>
      <c r="C10" s="2" t="s">
        <v>262</v>
      </c>
      <c r="D10" s="2" t="s">
        <v>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264</v>
      </c>
      <c r="B1" s="1" t="s">
        <v>265</v>
      </c>
      <c r="C1" s="1" t="s">
        <v>266</v>
      </c>
      <c r="D1" s="1" t="s">
        <v>267</v>
      </c>
      <c r="E1" s="1" t="s">
        <v>268</v>
      </c>
      <c r="F1" s="1" t="s">
        <v>269</v>
      </c>
      <c r="G1" s="1" t="s">
        <v>270</v>
      </c>
      <c r="H1" s="1" t="s">
        <v>271</v>
      </c>
      <c r="I1" s="1" t="s">
        <v>272</v>
      </c>
      <c r="J1" s="1" t="s">
        <v>225</v>
      </c>
      <c r="K1" s="1" t="s">
        <v>273</v>
      </c>
      <c r="L1" s="1" t="s">
        <v>274</v>
      </c>
      <c r="M1" s="1" t="s">
        <v>275</v>
      </c>
      <c r="N1" s="1" t="s">
        <v>276</v>
      </c>
      <c r="O1" s="1" t="s">
        <v>277</v>
      </c>
      <c r="P1" s="1" t="s">
        <v>278</v>
      </c>
      <c r="Q1" s="1" t="s">
        <v>279</v>
      </c>
      <c r="R1" s="1" t="s">
        <v>280</v>
      </c>
    </row>
    <row r="2" spans="1:18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0</v>
      </c>
      <c r="L2" s="3">
        <v>0</v>
      </c>
      <c r="M2" s="2"/>
      <c r="N2" s="2"/>
      <c r="O2" s="2"/>
      <c r="P2" s="2" t="s">
        <v>27</v>
      </c>
      <c r="Q2" s="2" t="s">
        <v>26</v>
      </c>
      <c r="R2" s="3">
        <v>150</v>
      </c>
    </row>
    <row r="3" spans="1:18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0</v>
      </c>
      <c r="L3" s="3">
        <v>0</v>
      </c>
      <c r="M3" s="2"/>
      <c r="N3" s="2"/>
      <c r="O3" s="2"/>
      <c r="P3" s="2" t="s">
        <v>27</v>
      </c>
      <c r="Q3" s="2" t="s">
        <v>38</v>
      </c>
      <c r="R3" s="3">
        <v>150</v>
      </c>
    </row>
    <row r="4" spans="1:18">
      <c r="A4" s="2" t="s">
        <v>39</v>
      </c>
      <c r="B4" s="2">
        <v>3</v>
      </c>
      <c r="C4" s="2" t="s">
        <v>43</v>
      </c>
      <c r="D4" s="2"/>
      <c r="E4" s="2"/>
      <c r="F4" s="2"/>
      <c r="G4" s="2"/>
      <c r="H4" s="2"/>
      <c r="I4" s="2"/>
      <c r="J4" s="2" t="s">
        <v>28</v>
      </c>
      <c r="K4" s="3">
        <v>0</v>
      </c>
      <c r="L4" s="3">
        <v>0</v>
      </c>
      <c r="M4" s="2"/>
      <c r="N4" s="2"/>
      <c r="O4" s="2"/>
      <c r="P4" s="2" t="s">
        <v>27</v>
      </c>
      <c r="Q4" s="2" t="s">
        <v>48</v>
      </c>
      <c r="R4" s="3">
        <v>150</v>
      </c>
    </row>
    <row r="5" spans="1:18">
      <c r="A5" s="2" t="s">
        <v>49</v>
      </c>
      <c r="B5" s="2">
        <v>4</v>
      </c>
      <c r="C5" s="2" t="s">
        <v>53</v>
      </c>
      <c r="D5" s="2"/>
      <c r="E5" s="2"/>
      <c r="F5" s="2"/>
      <c r="G5" s="2"/>
      <c r="H5" s="2"/>
      <c r="I5" s="2"/>
      <c r="J5" s="2" t="s">
        <v>28</v>
      </c>
      <c r="K5" s="3">
        <v>0</v>
      </c>
      <c r="L5" s="3">
        <v>0</v>
      </c>
      <c r="M5" s="2"/>
      <c r="N5" s="2"/>
      <c r="O5" s="2"/>
      <c r="P5" s="2" t="s">
        <v>27</v>
      </c>
      <c r="Q5" s="2" t="s">
        <v>58</v>
      </c>
      <c r="R5" s="3">
        <v>150</v>
      </c>
    </row>
    <row r="6" spans="1:18">
      <c r="A6" s="2" t="s">
        <v>59</v>
      </c>
      <c r="B6" s="2">
        <v>5</v>
      </c>
      <c r="C6" s="2" t="s">
        <v>63</v>
      </c>
      <c r="D6" s="2"/>
      <c r="E6" s="2"/>
      <c r="F6" s="2"/>
      <c r="G6" s="2"/>
      <c r="H6" s="2"/>
      <c r="I6" s="2"/>
      <c r="J6" s="2" t="s">
        <v>28</v>
      </c>
      <c r="K6" s="3">
        <v>0</v>
      </c>
      <c r="L6" s="3">
        <v>0</v>
      </c>
      <c r="M6" s="2"/>
      <c r="N6" s="2"/>
      <c r="O6" s="2"/>
      <c r="P6" s="2" t="s">
        <v>27</v>
      </c>
      <c r="Q6" s="2" t="s">
        <v>68</v>
      </c>
      <c r="R6" s="3">
        <v>150</v>
      </c>
    </row>
    <row r="7" spans="1:18">
      <c r="A7" s="2" t="s">
        <v>69</v>
      </c>
      <c r="B7" s="2">
        <v>6</v>
      </c>
      <c r="C7" s="2" t="s">
        <v>73</v>
      </c>
      <c r="D7" s="2"/>
      <c r="E7" s="2"/>
      <c r="F7" s="2"/>
      <c r="G7" s="2"/>
      <c r="H7" s="2"/>
      <c r="I7" s="2"/>
      <c r="J7" s="2" t="s">
        <v>28</v>
      </c>
      <c r="K7" s="3">
        <v>0</v>
      </c>
      <c r="L7" s="3">
        <v>0</v>
      </c>
      <c r="M7" s="2"/>
      <c r="N7" s="2" t="s">
        <v>281</v>
      </c>
      <c r="O7" s="2"/>
      <c r="P7" s="2" t="s">
        <v>79</v>
      </c>
      <c r="Q7" s="2" t="s">
        <v>78</v>
      </c>
      <c r="R7" s="3">
        <v>150</v>
      </c>
    </row>
    <row r="8" spans="1:18">
      <c r="A8" s="2" t="s">
        <v>80</v>
      </c>
      <c r="B8" s="2">
        <v>7</v>
      </c>
      <c r="C8" s="2" t="s">
        <v>85</v>
      </c>
      <c r="D8" s="2"/>
      <c r="E8" s="2"/>
      <c r="F8" s="2"/>
      <c r="G8" s="2"/>
      <c r="H8" s="2"/>
      <c r="I8" s="2"/>
      <c r="J8" s="2" t="s">
        <v>28</v>
      </c>
      <c r="K8" s="3">
        <v>0</v>
      </c>
      <c r="L8" s="3">
        <v>0</v>
      </c>
      <c r="M8" s="2"/>
      <c r="N8" s="2" t="s">
        <v>281</v>
      </c>
      <c r="O8" s="2"/>
      <c r="P8" s="2" t="s">
        <v>79</v>
      </c>
      <c r="Q8" s="2" t="s">
        <v>90</v>
      </c>
      <c r="R8" s="3">
        <v>150</v>
      </c>
    </row>
    <row r="9" spans="1:18">
      <c r="A9" s="2" t="s">
        <v>91</v>
      </c>
      <c r="B9" s="2">
        <v>8</v>
      </c>
      <c r="C9" s="2" t="s">
        <v>95</v>
      </c>
      <c r="D9" s="2"/>
      <c r="E9" s="2"/>
      <c r="F9" s="2"/>
      <c r="G9" s="2"/>
      <c r="H9" s="2"/>
      <c r="I9" s="2"/>
      <c r="J9" s="2" t="s">
        <v>28</v>
      </c>
      <c r="K9" s="3">
        <v>0</v>
      </c>
      <c r="L9" s="3">
        <v>0</v>
      </c>
      <c r="M9" s="2"/>
      <c r="N9" s="2" t="s">
        <v>281</v>
      </c>
      <c r="O9" s="2"/>
      <c r="P9" s="2" t="s">
        <v>79</v>
      </c>
      <c r="Q9" s="2" t="s">
        <v>100</v>
      </c>
      <c r="R9" s="3">
        <v>150</v>
      </c>
    </row>
    <row r="10" spans="1:18">
      <c r="A10" s="2" t="s">
        <v>101</v>
      </c>
      <c r="B10" s="2">
        <v>9</v>
      </c>
      <c r="C10" s="2" t="s">
        <v>106</v>
      </c>
      <c r="D10" s="2"/>
      <c r="E10" s="2"/>
      <c r="F10" s="2"/>
      <c r="G10" s="2"/>
      <c r="H10" s="2"/>
      <c r="I10" s="2"/>
      <c r="J10" s="2" t="s">
        <v>28</v>
      </c>
      <c r="K10" s="3">
        <v>0</v>
      </c>
      <c r="L10" s="3">
        <v>0</v>
      </c>
      <c r="M10" s="2"/>
      <c r="N10" s="2" t="s">
        <v>281</v>
      </c>
      <c r="O10" s="2"/>
      <c r="P10" s="2" t="s">
        <v>79</v>
      </c>
      <c r="Q10" s="2" t="s">
        <v>111</v>
      </c>
      <c r="R10" s="3">
        <v>150</v>
      </c>
    </row>
    <row r="11" spans="1:18">
      <c r="A11" s="2" t="s">
        <v>112</v>
      </c>
      <c r="B11" s="2">
        <v>10</v>
      </c>
      <c r="C11" s="2" t="s">
        <v>116</v>
      </c>
      <c r="D11" s="2"/>
      <c r="E11" s="2"/>
      <c r="F11" s="2"/>
      <c r="G11" s="2"/>
      <c r="H11" s="2"/>
      <c r="I11" s="2"/>
      <c r="J11" s="2" t="s">
        <v>28</v>
      </c>
      <c r="K11" s="3">
        <v>0</v>
      </c>
      <c r="L11" s="3">
        <v>0</v>
      </c>
      <c r="M11" s="2"/>
      <c r="N11" s="2"/>
      <c r="O11" s="2"/>
      <c r="P11" s="2" t="s">
        <v>79</v>
      </c>
      <c r="Q11" s="2" t="s">
        <v>121</v>
      </c>
      <c r="R11" s="3">
        <v>150</v>
      </c>
    </row>
    <row r="12" spans="1:18">
      <c r="A12" s="2" t="s">
        <v>122</v>
      </c>
      <c r="B12" s="2">
        <v>11</v>
      </c>
      <c r="C12" s="2" t="s">
        <v>126</v>
      </c>
      <c r="D12" s="2"/>
      <c r="E12" s="2"/>
      <c r="F12" s="2"/>
      <c r="G12" s="2"/>
      <c r="H12" s="2"/>
      <c r="I12" s="2"/>
      <c r="J12" s="2" t="s">
        <v>28</v>
      </c>
      <c r="K12" s="3">
        <v>0</v>
      </c>
      <c r="L12" s="3">
        <v>0</v>
      </c>
      <c r="M12" s="2"/>
      <c r="N12" s="2"/>
      <c r="O12" s="2"/>
      <c r="P12" s="2" t="s">
        <v>79</v>
      </c>
      <c r="Q12" s="2" t="s">
        <v>131</v>
      </c>
      <c r="R12" s="3">
        <v>150</v>
      </c>
    </row>
    <row r="13" spans="1:18">
      <c r="A13" s="2" t="s">
        <v>132</v>
      </c>
      <c r="B13" s="2">
        <v>12</v>
      </c>
      <c r="C13" s="2" t="s">
        <v>136</v>
      </c>
      <c r="D13" s="2"/>
      <c r="E13" s="2"/>
      <c r="F13" s="2"/>
      <c r="G13" s="2"/>
      <c r="H13" s="2"/>
      <c r="I13" s="2"/>
      <c r="J13" s="2" t="s">
        <v>28</v>
      </c>
      <c r="K13" s="3">
        <v>0</v>
      </c>
      <c r="L13" s="3">
        <v>0</v>
      </c>
      <c r="M13" s="2"/>
      <c r="N13" s="2"/>
      <c r="O13" s="2"/>
      <c r="P13" s="2" t="s">
        <v>79</v>
      </c>
      <c r="Q13" s="2" t="s">
        <v>140</v>
      </c>
      <c r="R13" s="3">
        <v>150</v>
      </c>
    </row>
    <row r="14" spans="1:18">
      <c r="A14" s="2" t="s">
        <v>141</v>
      </c>
      <c r="B14" s="2">
        <v>13</v>
      </c>
      <c r="C14" s="2" t="s">
        <v>146</v>
      </c>
      <c r="D14" s="2"/>
      <c r="E14" s="2"/>
      <c r="F14" s="2"/>
      <c r="G14" s="2"/>
      <c r="H14" s="2"/>
      <c r="I14" s="2"/>
      <c r="J14" s="2" t="s">
        <v>28</v>
      </c>
      <c r="K14" s="3">
        <v>0</v>
      </c>
      <c r="L14" s="3">
        <v>0</v>
      </c>
      <c r="M14" s="2"/>
      <c r="N14" s="2" t="s">
        <v>281</v>
      </c>
      <c r="O14" s="2"/>
      <c r="P14" s="2" t="s">
        <v>79</v>
      </c>
      <c r="Q14" s="2" t="s">
        <v>151</v>
      </c>
      <c r="R14" s="3">
        <v>150</v>
      </c>
    </row>
    <row r="15" spans="1:18">
      <c r="A15" s="2" t="s">
        <v>152</v>
      </c>
      <c r="B15" s="2">
        <v>14</v>
      </c>
      <c r="C15" s="2" t="s">
        <v>157</v>
      </c>
      <c r="D15" s="2"/>
      <c r="E15" s="2"/>
      <c r="F15" s="2"/>
      <c r="G15" s="2"/>
      <c r="H15" s="2"/>
      <c r="I15" s="2"/>
      <c r="J15" s="2" t="s">
        <v>28</v>
      </c>
      <c r="K15" s="3">
        <v>0</v>
      </c>
      <c r="L15" s="3">
        <v>0</v>
      </c>
      <c r="M15" s="2"/>
      <c r="N15" s="2" t="s">
        <v>281</v>
      </c>
      <c r="O15" s="2"/>
      <c r="P15" s="2" t="s">
        <v>79</v>
      </c>
      <c r="Q15" s="2" t="s">
        <v>162</v>
      </c>
      <c r="R15" s="3">
        <v>150</v>
      </c>
    </row>
    <row r="16" spans="1:18">
      <c r="A16" s="2" t="s">
        <v>163</v>
      </c>
      <c r="B16" s="2">
        <v>15</v>
      </c>
      <c r="C16" s="2" t="s">
        <v>168</v>
      </c>
      <c r="D16" s="2"/>
      <c r="E16" s="2"/>
      <c r="F16" s="2"/>
      <c r="G16" s="2"/>
      <c r="H16" s="2"/>
      <c r="I16" s="2"/>
      <c r="J16" s="2" t="s">
        <v>28</v>
      </c>
      <c r="K16" s="3">
        <v>0</v>
      </c>
      <c r="L16" s="3">
        <v>0</v>
      </c>
      <c r="M16" s="2"/>
      <c r="N16" s="2" t="s">
        <v>281</v>
      </c>
      <c r="O16" s="2"/>
      <c r="P16" s="2" t="s">
        <v>174</v>
      </c>
      <c r="Q16" s="2" t="s">
        <v>173</v>
      </c>
      <c r="R16" s="3">
        <v>150</v>
      </c>
    </row>
    <row r="17" spans="1:18">
      <c r="A17" s="2" t="s">
        <v>175</v>
      </c>
      <c r="B17" s="2">
        <v>16</v>
      </c>
      <c r="C17" s="2" t="s">
        <v>180</v>
      </c>
      <c r="D17" s="2"/>
      <c r="E17" s="2"/>
      <c r="F17" s="2"/>
      <c r="G17" s="2"/>
      <c r="H17" s="2"/>
      <c r="I17" s="2"/>
      <c r="J17" s="2" t="s">
        <v>28</v>
      </c>
      <c r="K17" s="3">
        <v>0</v>
      </c>
      <c r="L17" s="3">
        <v>0</v>
      </c>
      <c r="M17" s="2"/>
      <c r="N17" s="2" t="s">
        <v>281</v>
      </c>
      <c r="O17" s="2"/>
      <c r="P17" s="2" t="s">
        <v>174</v>
      </c>
      <c r="Q17" s="2" t="s">
        <v>185</v>
      </c>
      <c r="R17" s="3">
        <v>150</v>
      </c>
    </row>
    <row r="18" spans="1:18">
      <c r="A18" s="2" t="s">
        <v>186</v>
      </c>
      <c r="B18" s="2">
        <v>17</v>
      </c>
      <c r="C18" s="2" t="s">
        <v>190</v>
      </c>
      <c r="D18" s="2"/>
      <c r="E18" s="2"/>
      <c r="F18" s="2"/>
      <c r="G18" s="2"/>
      <c r="H18" s="2"/>
      <c r="I18" s="2"/>
      <c r="J18" s="2" t="s">
        <v>28</v>
      </c>
      <c r="K18" s="3">
        <v>0</v>
      </c>
      <c r="L18" s="3">
        <v>0</v>
      </c>
      <c r="M18" s="2"/>
      <c r="N18" s="2" t="s">
        <v>281</v>
      </c>
      <c r="O18" s="2"/>
      <c r="P18" s="2" t="s">
        <v>174</v>
      </c>
      <c r="Q18" s="2" t="s">
        <v>195</v>
      </c>
      <c r="R18" s="3">
        <v>150</v>
      </c>
    </row>
    <row r="19" spans="1:18">
      <c r="A19" s="2" t="s">
        <v>196</v>
      </c>
      <c r="B19" s="2">
        <v>18</v>
      </c>
      <c r="C19" s="2" t="s">
        <v>199</v>
      </c>
      <c r="D19" s="2"/>
      <c r="E19" s="2"/>
      <c r="F19" s="2"/>
      <c r="G19" s="2"/>
      <c r="H19" s="2"/>
      <c r="I19" s="2"/>
      <c r="J19" s="2" t="s">
        <v>28</v>
      </c>
      <c r="K19" s="3">
        <v>0</v>
      </c>
      <c r="L19" s="3">
        <v>0</v>
      </c>
      <c r="M19" s="2"/>
      <c r="N19" s="2" t="s">
        <v>281</v>
      </c>
      <c r="O19" s="2"/>
      <c r="P19" s="2" t="s">
        <v>174</v>
      </c>
      <c r="Q19" s="2" t="s">
        <v>204</v>
      </c>
      <c r="R19" s="3">
        <v>150</v>
      </c>
    </row>
    <row r="20" spans="1:18">
      <c r="A20" s="2" t="s">
        <v>205</v>
      </c>
      <c r="B20" s="2">
        <v>19</v>
      </c>
      <c r="C20" s="2" t="s">
        <v>209</v>
      </c>
      <c r="D20" s="2"/>
      <c r="E20" s="2"/>
      <c r="F20" s="2"/>
      <c r="G20" s="2"/>
      <c r="H20" s="2"/>
      <c r="I20" s="2"/>
      <c r="J20" s="2" t="s">
        <v>28</v>
      </c>
      <c r="K20" s="3">
        <v>0</v>
      </c>
      <c r="L20" s="3">
        <v>0</v>
      </c>
      <c r="M20" s="2"/>
      <c r="N20" s="2" t="s">
        <v>281</v>
      </c>
      <c r="O20" s="2"/>
      <c r="P20" s="2" t="s">
        <v>79</v>
      </c>
      <c r="Q20" s="2" t="s">
        <v>214</v>
      </c>
      <c r="R20" s="3">
        <v>150</v>
      </c>
    </row>
    <row r="21" spans="1:18">
      <c r="A21" s="2" t="s">
        <v>215</v>
      </c>
      <c r="B21" s="2">
        <v>20</v>
      </c>
      <c r="C21" s="2" t="s">
        <v>218</v>
      </c>
      <c r="D21" s="2"/>
      <c r="E21" s="2"/>
      <c r="F21" s="2"/>
      <c r="G21" s="2"/>
      <c r="H21" s="2"/>
      <c r="I21" s="2"/>
      <c r="J21" s="2" t="s">
        <v>28</v>
      </c>
      <c r="K21" s="3">
        <v>0</v>
      </c>
      <c r="L21" s="3">
        <v>0</v>
      </c>
      <c r="M21" s="2"/>
      <c r="N21" s="2" t="s">
        <v>281</v>
      </c>
      <c r="O21" s="2"/>
      <c r="P21" s="2" t="s">
        <v>79</v>
      </c>
      <c r="Q21" s="2" t="s">
        <v>223</v>
      </c>
      <c r="R21" s="3">
        <v>150</v>
      </c>
    </row>
    <row r="22" spans="1:18">
      <c r="A22" s="2" t="s">
        <v>282</v>
      </c>
      <c r="B22" s="2" t="s">
        <v>283</v>
      </c>
      <c r="C22" s="2" t="s">
        <v>284</v>
      </c>
      <c r="D22" s="2" t="s">
        <v>285</v>
      </c>
      <c r="E22" s="2" t="s">
        <v>286</v>
      </c>
      <c r="F22" s="2" t="s">
        <v>287</v>
      </c>
      <c r="G22" s="2"/>
      <c r="H22" s="2"/>
      <c r="I22" s="2"/>
      <c r="J22" s="2" t="s">
        <v>288</v>
      </c>
      <c r="K22" s="3">
        <v>0</v>
      </c>
      <c r="L22" s="3">
        <v>0</v>
      </c>
      <c r="M22" s="2"/>
      <c r="N22" s="2" t="s">
        <v>289</v>
      </c>
      <c r="O22" s="2"/>
      <c r="P22" s="2"/>
      <c r="Q22" s="2"/>
      <c r="R22" s="3">
        <v>150</v>
      </c>
    </row>
    <row r="23" spans="1:18">
      <c r="A23" s="2" t="s">
        <v>290</v>
      </c>
      <c r="B23" s="2" t="s">
        <v>283</v>
      </c>
      <c r="C23" s="2" t="s">
        <v>284</v>
      </c>
      <c r="D23" s="2" t="s">
        <v>291</v>
      </c>
      <c r="E23" s="2" t="s">
        <v>292</v>
      </c>
      <c r="F23" s="2" t="s">
        <v>293</v>
      </c>
      <c r="G23" s="2" t="s">
        <v>292</v>
      </c>
      <c r="H23" s="2" t="s">
        <v>294</v>
      </c>
      <c r="I23" s="2"/>
      <c r="J23" s="2" t="s">
        <v>288</v>
      </c>
      <c r="K23" s="3">
        <v>0</v>
      </c>
      <c r="L23" s="3">
        <v>0</v>
      </c>
      <c r="M23" s="2"/>
      <c r="N23" s="2" t="s">
        <v>295</v>
      </c>
      <c r="O23" s="2"/>
      <c r="P23" s="2"/>
      <c r="Q23" s="2"/>
      <c r="R23" s="3">
        <v>150</v>
      </c>
    </row>
    <row r="24" spans="1:18">
      <c r="A24" s="2" t="s">
        <v>296</v>
      </c>
      <c r="B24" s="2" t="s">
        <v>283</v>
      </c>
      <c r="C24" s="2" t="s">
        <v>284</v>
      </c>
      <c r="D24" s="2" t="s">
        <v>297</v>
      </c>
      <c r="E24" s="2" t="s">
        <v>298</v>
      </c>
      <c r="F24" s="2"/>
      <c r="G24" s="2"/>
      <c r="H24" s="2"/>
      <c r="I24" s="2"/>
      <c r="J24" s="2" t="s">
        <v>288</v>
      </c>
      <c r="K24" s="3">
        <v>0</v>
      </c>
      <c r="L24" s="3">
        <v>0</v>
      </c>
      <c r="M24" s="2"/>
      <c r="N24" s="2" t="s">
        <v>299</v>
      </c>
      <c r="O24" s="2"/>
      <c r="P24" s="2"/>
      <c r="Q24" s="2"/>
      <c r="R24" s="3">
        <v>150</v>
      </c>
    </row>
    <row r="25" spans="1:18">
      <c r="A25" s="2" t="s">
        <v>300</v>
      </c>
      <c r="B25" s="2" t="s">
        <v>283</v>
      </c>
      <c r="C25" s="2" t="s">
        <v>284</v>
      </c>
      <c r="D25" s="2" t="s">
        <v>301</v>
      </c>
      <c r="E25" s="2" t="s">
        <v>298</v>
      </c>
      <c r="F25" s="2"/>
      <c r="G25" s="2"/>
      <c r="H25" s="2"/>
      <c r="I25" s="2"/>
      <c r="J25" s="2" t="s">
        <v>288</v>
      </c>
      <c r="K25" s="3">
        <v>0</v>
      </c>
      <c r="L25" s="3">
        <v>0</v>
      </c>
      <c r="M25" s="2"/>
      <c r="N25" s="2" t="s">
        <v>299</v>
      </c>
      <c r="O25" s="2"/>
      <c r="P25" s="2"/>
      <c r="Q25" s="2"/>
      <c r="R25" s="3">
        <v>150</v>
      </c>
    </row>
    <row r="26" spans="1:18">
      <c r="A26" s="2" t="s">
        <v>302</v>
      </c>
      <c r="B26" s="2" t="s">
        <v>283</v>
      </c>
      <c r="C26" s="2" t="s">
        <v>284</v>
      </c>
      <c r="D26" s="2" t="s">
        <v>303</v>
      </c>
      <c r="E26" s="2" t="s">
        <v>298</v>
      </c>
      <c r="F26" s="2"/>
      <c r="G26" s="2"/>
      <c r="H26" s="2"/>
      <c r="I26" s="2"/>
      <c r="J26" s="2" t="s">
        <v>288</v>
      </c>
      <c r="K26" s="3">
        <v>0</v>
      </c>
      <c r="L26" s="3">
        <v>0</v>
      </c>
      <c r="M26" s="2"/>
      <c r="N26" s="2" t="s">
        <v>304</v>
      </c>
      <c r="O26" s="2"/>
      <c r="P26" s="2"/>
      <c r="Q26" s="2"/>
      <c r="R26" s="3">
        <v>150</v>
      </c>
    </row>
    <row r="27" spans="1:18">
      <c r="A27" s="2" t="s">
        <v>305</v>
      </c>
      <c r="B27" s="2" t="s">
        <v>283</v>
      </c>
      <c r="C27" s="2" t="s">
        <v>284</v>
      </c>
      <c r="D27" s="2" t="s">
        <v>306</v>
      </c>
      <c r="E27" s="2" t="s">
        <v>307</v>
      </c>
      <c r="F27" s="2"/>
      <c r="G27" s="2"/>
      <c r="H27" s="2"/>
      <c r="I27" s="2"/>
      <c r="J27" s="2" t="s">
        <v>288</v>
      </c>
      <c r="K27" s="3">
        <v>0</v>
      </c>
      <c r="L27" s="3">
        <v>0</v>
      </c>
      <c r="M27" s="2"/>
      <c r="N27" s="2" t="s">
        <v>304</v>
      </c>
      <c r="O27" s="2"/>
      <c r="P27" s="2"/>
      <c r="Q27" s="2"/>
      <c r="R27" s="3">
        <v>150</v>
      </c>
    </row>
    <row r="28" spans="1:18">
      <c r="A28" s="2" t="s">
        <v>308</v>
      </c>
      <c r="B28" s="2" t="s">
        <v>283</v>
      </c>
      <c r="C28" s="2" t="s">
        <v>284</v>
      </c>
      <c r="D28" s="2" t="s">
        <v>309</v>
      </c>
      <c r="E28" s="2" t="s">
        <v>307</v>
      </c>
      <c r="F28" s="2"/>
      <c r="G28" s="2"/>
      <c r="H28" s="2"/>
      <c r="I28" s="2"/>
      <c r="J28" s="2" t="s">
        <v>288</v>
      </c>
      <c r="K28" s="3">
        <v>0</v>
      </c>
      <c r="L28" s="3">
        <v>0</v>
      </c>
      <c r="M28" s="2"/>
      <c r="N28" s="2" t="s">
        <v>304</v>
      </c>
      <c r="O28" s="2"/>
      <c r="P28" s="2"/>
      <c r="Q28" s="2"/>
      <c r="R28" s="3">
        <v>150</v>
      </c>
    </row>
    <row r="29" spans="1:18">
      <c r="A29" s="2" t="s">
        <v>310</v>
      </c>
      <c r="B29" s="2" t="s">
        <v>283</v>
      </c>
      <c r="C29" s="2" t="s">
        <v>284</v>
      </c>
      <c r="D29" s="2" t="s">
        <v>311</v>
      </c>
      <c r="E29" s="2" t="s">
        <v>307</v>
      </c>
      <c r="F29" s="2"/>
      <c r="G29" s="2"/>
      <c r="H29" s="2"/>
      <c r="I29" s="2"/>
      <c r="J29" s="2" t="s">
        <v>288</v>
      </c>
      <c r="K29" s="3">
        <v>0</v>
      </c>
      <c r="L29" s="3">
        <v>0</v>
      </c>
      <c r="M29" s="2"/>
      <c r="N29" s="2" t="s">
        <v>304</v>
      </c>
      <c r="O29" s="2"/>
      <c r="P29" s="2"/>
      <c r="Q29" s="2"/>
      <c r="R29" s="3">
        <v>150</v>
      </c>
    </row>
    <row r="30" spans="1:18">
      <c r="A30" s="2" t="s">
        <v>312</v>
      </c>
      <c r="B30" s="2" t="s">
        <v>283</v>
      </c>
      <c r="C30" s="2" t="s">
        <v>284</v>
      </c>
      <c r="D30" s="2" t="s">
        <v>313</v>
      </c>
      <c r="E30" s="2" t="s">
        <v>307</v>
      </c>
      <c r="F30" s="2"/>
      <c r="G30" s="2"/>
      <c r="H30" s="2"/>
      <c r="I30" s="2"/>
      <c r="J30" s="2" t="s">
        <v>288</v>
      </c>
      <c r="K30" s="3">
        <v>0</v>
      </c>
      <c r="L30" s="3">
        <v>0</v>
      </c>
      <c r="M30" s="2"/>
      <c r="N30" s="2" t="s">
        <v>304</v>
      </c>
      <c r="O30" s="2"/>
      <c r="P30" s="2"/>
      <c r="Q30" s="2"/>
      <c r="R30" s="3">
        <v>150</v>
      </c>
    </row>
    <row r="31" spans="1:18">
      <c r="A31" s="2" t="s">
        <v>314</v>
      </c>
      <c r="B31" s="2" t="s">
        <v>283</v>
      </c>
      <c r="C31" s="2" t="s">
        <v>284</v>
      </c>
      <c r="D31" s="2" t="s">
        <v>315</v>
      </c>
      <c r="E31" s="2" t="s">
        <v>307</v>
      </c>
      <c r="F31" s="2"/>
      <c r="G31" s="2"/>
      <c r="H31" s="2"/>
      <c r="I31" s="2"/>
      <c r="J31" s="2" t="s">
        <v>288</v>
      </c>
      <c r="K31" s="3">
        <v>0</v>
      </c>
      <c r="L31" s="3">
        <v>0</v>
      </c>
      <c r="M31" s="2"/>
      <c r="N31" s="2" t="s">
        <v>304</v>
      </c>
      <c r="O31" s="2"/>
      <c r="P31" s="2"/>
      <c r="Q31" s="2"/>
      <c r="R31" s="3">
        <v>150</v>
      </c>
    </row>
    <row r="32" spans="1:18">
      <c r="A32" s="2" t="s">
        <v>316</v>
      </c>
      <c r="B32" s="2" t="s">
        <v>283</v>
      </c>
      <c r="C32" s="2" t="s">
        <v>284</v>
      </c>
      <c r="D32" s="2" t="s">
        <v>317</v>
      </c>
      <c r="E32" s="2" t="s">
        <v>298</v>
      </c>
      <c r="F32" s="2" t="s">
        <v>318</v>
      </c>
      <c r="G32" s="2"/>
      <c r="H32" s="2"/>
      <c r="I32" s="2"/>
      <c r="J32" s="2" t="s">
        <v>288</v>
      </c>
      <c r="K32" s="3">
        <v>0</v>
      </c>
      <c r="L32" s="3">
        <v>0</v>
      </c>
      <c r="M32" s="2"/>
      <c r="N32" s="2" t="s">
        <v>319</v>
      </c>
      <c r="O32" s="2"/>
      <c r="P32" s="2"/>
      <c r="Q32" s="2"/>
      <c r="R32" s="3">
        <v>150</v>
      </c>
    </row>
    <row r="33" spans="1:18">
      <c r="A33" s="2" t="s">
        <v>320</v>
      </c>
      <c r="B33" s="2" t="s">
        <v>283</v>
      </c>
      <c r="C33" s="2" t="s">
        <v>284</v>
      </c>
      <c r="D33" s="2" t="s">
        <v>321</v>
      </c>
      <c r="E33" s="2" t="s">
        <v>298</v>
      </c>
      <c r="F33" s="2"/>
      <c r="G33" s="2"/>
      <c r="H33" s="2"/>
      <c r="I33" s="2"/>
      <c r="J33" s="2" t="s">
        <v>288</v>
      </c>
      <c r="K33" s="3">
        <v>0</v>
      </c>
      <c r="L33" s="3">
        <v>0</v>
      </c>
      <c r="M33" s="2"/>
      <c r="N33" s="2" t="s">
        <v>304</v>
      </c>
      <c r="O33" s="2"/>
      <c r="P33" s="2"/>
      <c r="Q33" s="2"/>
      <c r="R33" s="3">
        <v>150</v>
      </c>
    </row>
    <row r="34" spans="1:18">
      <c r="A34" s="2" t="s">
        <v>322</v>
      </c>
      <c r="B34" s="2" t="s">
        <v>283</v>
      </c>
      <c r="C34" s="2" t="s">
        <v>284</v>
      </c>
      <c r="D34" s="2" t="s">
        <v>323</v>
      </c>
      <c r="E34" s="2" t="s">
        <v>298</v>
      </c>
      <c r="F34" s="2"/>
      <c r="G34" s="2"/>
      <c r="H34" s="2"/>
      <c r="I34" s="2"/>
      <c r="J34" s="2" t="s">
        <v>288</v>
      </c>
      <c r="K34" s="3">
        <v>0</v>
      </c>
      <c r="L34" s="3">
        <v>0</v>
      </c>
      <c r="M34" s="2"/>
      <c r="N34" s="2" t="s">
        <v>304</v>
      </c>
      <c r="O34" s="2"/>
      <c r="P34" s="2"/>
      <c r="Q34" s="2"/>
      <c r="R34" s="3">
        <v>150</v>
      </c>
    </row>
    <row r="35" spans="1:18">
      <c r="A35" s="2" t="s">
        <v>324</v>
      </c>
      <c r="B35" s="2" t="s">
        <v>283</v>
      </c>
      <c r="C35" s="2" t="s">
        <v>284</v>
      </c>
      <c r="D35" s="2" t="s">
        <v>325</v>
      </c>
      <c r="E35" s="2" t="s">
        <v>298</v>
      </c>
      <c r="F35" s="2"/>
      <c r="G35" s="2"/>
      <c r="H35" s="2"/>
      <c r="I35" s="2"/>
      <c r="J35" s="2" t="s">
        <v>288</v>
      </c>
      <c r="K35" s="3">
        <v>0</v>
      </c>
      <c r="L35" s="3">
        <v>0</v>
      </c>
      <c r="M35" s="2"/>
      <c r="N35" s="2" t="s">
        <v>304</v>
      </c>
      <c r="O35" s="2"/>
      <c r="P35" s="2"/>
      <c r="Q35" s="2"/>
      <c r="R35" s="3">
        <v>150</v>
      </c>
    </row>
    <row r="36" spans="1:18">
      <c r="A36" s="2" t="s">
        <v>326</v>
      </c>
      <c r="B36" s="2" t="s">
        <v>283</v>
      </c>
      <c r="C36" s="2" t="s">
        <v>284</v>
      </c>
      <c r="D36" s="2" t="s">
        <v>327</v>
      </c>
      <c r="E36" s="2" t="s">
        <v>298</v>
      </c>
      <c r="F36" s="2"/>
      <c r="G36" s="2"/>
      <c r="H36" s="2"/>
      <c r="I36" s="2"/>
      <c r="J36" s="2" t="s">
        <v>288</v>
      </c>
      <c r="K36" s="3">
        <v>0</v>
      </c>
      <c r="L36" s="3">
        <v>0</v>
      </c>
      <c r="M36" s="2"/>
      <c r="N36" s="2" t="s">
        <v>304</v>
      </c>
      <c r="O36" s="2"/>
      <c r="P36" s="2"/>
      <c r="Q36" s="2"/>
      <c r="R36" s="3">
        <v>150</v>
      </c>
    </row>
  </sheetData>
  <autoFilter ref="A1:R3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267</v>
      </c>
      <c r="C1" s="1" t="s">
        <v>328</v>
      </c>
      <c r="D1" s="1" t="s">
        <v>269</v>
      </c>
      <c r="E1" s="1" t="s">
        <v>329</v>
      </c>
      <c r="F1" s="1" t="s">
        <v>271</v>
      </c>
      <c r="G1" s="1" t="s">
        <v>330</v>
      </c>
      <c r="H1" s="1" t="s">
        <v>272</v>
      </c>
      <c r="I1" s="1" t="s">
        <v>225</v>
      </c>
      <c r="J1" s="1" t="s">
        <v>276</v>
      </c>
      <c r="K1" s="1" t="s">
        <v>274</v>
      </c>
      <c r="L1" s="1" t="s">
        <v>275</v>
      </c>
    </row>
    <row r="2" spans="1:12">
      <c r="A2" s="2" t="s">
        <v>290</v>
      </c>
      <c r="B2" s="2" t="s">
        <v>291</v>
      </c>
      <c r="C2" s="2" t="s">
        <v>331</v>
      </c>
      <c r="D2" s="2" t="s">
        <v>293</v>
      </c>
      <c r="E2" s="2" t="s">
        <v>332</v>
      </c>
      <c r="F2" s="2" t="s">
        <v>294</v>
      </c>
      <c r="G2" s="2" t="s">
        <v>333</v>
      </c>
      <c r="H2" s="2"/>
      <c r="I2" s="2" t="s">
        <v>288</v>
      </c>
      <c r="J2" s="2" t="s">
        <v>295</v>
      </c>
      <c r="K2" s="3">
        <v>0</v>
      </c>
      <c r="L2" s="2"/>
    </row>
    <row r="3" spans="1:12">
      <c r="A3" s="2" t="s">
        <v>326</v>
      </c>
      <c r="B3" s="2" t="s">
        <v>327</v>
      </c>
      <c r="C3" s="2" t="s">
        <v>334</v>
      </c>
      <c r="D3" s="2"/>
      <c r="E3" s="2"/>
      <c r="F3" s="2"/>
      <c r="G3" s="2"/>
      <c r="H3" s="2"/>
      <c r="I3" s="2" t="s">
        <v>288</v>
      </c>
      <c r="J3" s="2" t="s">
        <v>304</v>
      </c>
      <c r="K3" s="3">
        <v>0</v>
      </c>
      <c r="L3" s="2"/>
    </row>
    <row r="4" spans="1:12">
      <c r="A4" s="2" t="s">
        <v>300</v>
      </c>
      <c r="B4" s="2" t="s">
        <v>301</v>
      </c>
      <c r="C4" s="2" t="s">
        <v>335</v>
      </c>
      <c r="D4" s="2"/>
      <c r="E4" s="2"/>
      <c r="F4" s="2"/>
      <c r="G4" s="2"/>
      <c r="H4" s="2"/>
      <c r="I4" s="2" t="s">
        <v>288</v>
      </c>
      <c r="J4" s="2" t="s">
        <v>299</v>
      </c>
      <c r="K4" s="3">
        <v>0</v>
      </c>
      <c r="L4" s="2"/>
    </row>
    <row r="5" spans="1:12">
      <c r="A5" s="2" t="s">
        <v>316</v>
      </c>
      <c r="B5" s="2" t="s">
        <v>317</v>
      </c>
      <c r="C5" s="2" t="s">
        <v>336</v>
      </c>
      <c r="D5" s="2" t="s">
        <v>318</v>
      </c>
      <c r="E5" s="2" t="s">
        <v>337</v>
      </c>
      <c r="F5" s="2"/>
      <c r="G5" s="2"/>
      <c r="H5" s="2"/>
      <c r="I5" s="2" t="s">
        <v>288</v>
      </c>
      <c r="J5" s="2" t="s">
        <v>319</v>
      </c>
      <c r="K5" s="3">
        <v>0</v>
      </c>
      <c r="L5" s="2"/>
    </row>
    <row r="6" spans="1:12">
      <c r="A6" s="2" t="s">
        <v>324</v>
      </c>
      <c r="B6" s="2" t="s">
        <v>325</v>
      </c>
      <c r="C6" s="2" t="s">
        <v>338</v>
      </c>
      <c r="D6" s="2"/>
      <c r="E6" s="2"/>
      <c r="F6" s="2"/>
      <c r="G6" s="2"/>
      <c r="H6" s="2"/>
      <c r="I6" s="2" t="s">
        <v>288</v>
      </c>
      <c r="J6" s="2" t="s">
        <v>304</v>
      </c>
      <c r="K6" s="3">
        <v>0</v>
      </c>
      <c r="L6" s="2"/>
    </row>
    <row r="7" spans="1:12">
      <c r="A7" s="2" t="s">
        <v>322</v>
      </c>
      <c r="B7" s="2" t="s">
        <v>323</v>
      </c>
      <c r="C7" s="2" t="s">
        <v>339</v>
      </c>
      <c r="D7" s="2"/>
      <c r="E7" s="2"/>
      <c r="F7" s="2"/>
      <c r="G7" s="2"/>
      <c r="H7" s="2"/>
      <c r="I7" s="2" t="s">
        <v>288</v>
      </c>
      <c r="J7" s="2" t="s">
        <v>304</v>
      </c>
      <c r="K7" s="3">
        <v>0</v>
      </c>
      <c r="L7" s="2"/>
    </row>
    <row r="8" spans="1:12">
      <c r="A8" s="2" t="s">
        <v>296</v>
      </c>
      <c r="B8" s="2" t="s">
        <v>297</v>
      </c>
      <c r="C8" s="2" t="s">
        <v>340</v>
      </c>
      <c r="D8" s="2"/>
      <c r="E8" s="2"/>
      <c r="F8" s="2"/>
      <c r="G8" s="2"/>
      <c r="H8" s="2"/>
      <c r="I8" s="2" t="s">
        <v>288</v>
      </c>
      <c r="J8" s="2" t="s">
        <v>299</v>
      </c>
      <c r="K8" s="3">
        <v>0</v>
      </c>
      <c r="L8" s="2"/>
    </row>
    <row r="9" spans="1:12">
      <c r="A9" s="2" t="s">
        <v>282</v>
      </c>
      <c r="B9" s="2" t="s">
        <v>285</v>
      </c>
      <c r="C9" s="2" t="s">
        <v>341</v>
      </c>
      <c r="D9" s="2" t="s">
        <v>287</v>
      </c>
      <c r="E9" s="2" t="s">
        <v>342</v>
      </c>
      <c r="F9" s="2"/>
      <c r="G9" s="2"/>
      <c r="H9" s="2"/>
      <c r="I9" s="2" t="s">
        <v>288</v>
      </c>
      <c r="J9" s="2" t="s">
        <v>289</v>
      </c>
      <c r="K9" s="3">
        <v>0</v>
      </c>
      <c r="L9" s="2"/>
    </row>
    <row r="10" spans="1:12">
      <c r="A10" s="2" t="s">
        <v>302</v>
      </c>
      <c r="B10" s="2" t="s">
        <v>303</v>
      </c>
      <c r="C10" s="2" t="s">
        <v>343</v>
      </c>
      <c r="D10" s="2"/>
      <c r="E10" s="2"/>
      <c r="F10" s="2"/>
      <c r="G10" s="2"/>
      <c r="H10" s="2"/>
      <c r="I10" s="2" t="s">
        <v>288</v>
      </c>
      <c r="J10" s="2" t="s">
        <v>304</v>
      </c>
      <c r="K10" s="3">
        <v>0</v>
      </c>
      <c r="L10" s="2"/>
    </row>
    <row r="11" spans="1:12">
      <c r="A11" s="2" t="s">
        <v>320</v>
      </c>
      <c r="B11" s="2" t="s">
        <v>321</v>
      </c>
      <c r="C11" s="2" t="s">
        <v>344</v>
      </c>
      <c r="D11" s="2"/>
      <c r="E11" s="2"/>
      <c r="F11" s="2"/>
      <c r="G11" s="2"/>
      <c r="H11" s="2"/>
      <c r="I11" s="2" t="s">
        <v>288</v>
      </c>
      <c r="J11" s="2" t="s">
        <v>304</v>
      </c>
      <c r="K11" s="3">
        <v>0</v>
      </c>
      <c r="L11" s="2"/>
    </row>
    <row r="12" spans="1:12">
      <c r="A12" s="2" t="s">
        <v>345</v>
      </c>
      <c r="B12" s="2" t="s">
        <v>346</v>
      </c>
      <c r="C12" s="2" t="s">
        <v>347</v>
      </c>
      <c r="D12" s="2"/>
      <c r="E12" s="2"/>
      <c r="F12" s="2"/>
      <c r="G12" s="2"/>
      <c r="H12" s="2"/>
      <c r="I12" s="2" t="s">
        <v>288</v>
      </c>
      <c r="J12" s="2" t="s">
        <v>348</v>
      </c>
      <c r="K12" s="3">
        <v>0</v>
      </c>
      <c r="L12" s="2"/>
    </row>
    <row r="13" spans="1:12">
      <c r="A13" s="2" t="s">
        <v>310</v>
      </c>
      <c r="B13" s="2" t="s">
        <v>311</v>
      </c>
      <c r="C13" s="2" t="s">
        <v>349</v>
      </c>
      <c r="D13" s="2"/>
      <c r="E13" s="2"/>
      <c r="F13" s="2"/>
      <c r="G13" s="2"/>
      <c r="H13" s="2"/>
      <c r="I13" s="2" t="s">
        <v>288</v>
      </c>
      <c r="J13" s="2" t="s">
        <v>304</v>
      </c>
      <c r="K13" s="3">
        <v>0</v>
      </c>
      <c r="L13" s="2"/>
    </row>
    <row r="14" spans="1:12">
      <c r="A14" s="2" t="s">
        <v>305</v>
      </c>
      <c r="B14" s="2" t="s">
        <v>306</v>
      </c>
      <c r="C14" s="2" t="s">
        <v>350</v>
      </c>
      <c r="D14" s="2"/>
      <c r="E14" s="2"/>
      <c r="F14" s="2"/>
      <c r="G14" s="2"/>
      <c r="H14" s="2"/>
      <c r="I14" s="2" t="s">
        <v>288</v>
      </c>
      <c r="J14" s="2" t="s">
        <v>304</v>
      </c>
      <c r="K14" s="3">
        <v>0</v>
      </c>
      <c r="L14" s="2"/>
    </row>
    <row r="15" spans="1:12">
      <c r="A15" s="2" t="s">
        <v>312</v>
      </c>
      <c r="B15" s="2" t="s">
        <v>313</v>
      </c>
      <c r="C15" s="2" t="s">
        <v>351</v>
      </c>
      <c r="D15" s="2"/>
      <c r="E15" s="2"/>
      <c r="F15" s="2"/>
      <c r="G15" s="2"/>
      <c r="H15" s="2"/>
      <c r="I15" s="2" t="s">
        <v>288</v>
      </c>
      <c r="J15" s="2" t="s">
        <v>304</v>
      </c>
      <c r="K15" s="3">
        <v>0</v>
      </c>
      <c r="L15" s="2"/>
    </row>
    <row r="16" spans="1:12">
      <c r="A16" s="2" t="s">
        <v>314</v>
      </c>
      <c r="B16" s="2" t="s">
        <v>315</v>
      </c>
      <c r="C16" s="2" t="s">
        <v>352</v>
      </c>
      <c r="D16" s="2"/>
      <c r="E16" s="2"/>
      <c r="F16" s="2"/>
      <c r="G16" s="2"/>
      <c r="H16" s="2"/>
      <c r="I16" s="2" t="s">
        <v>288</v>
      </c>
      <c r="J16" s="2" t="s">
        <v>304</v>
      </c>
      <c r="K16" s="3">
        <v>0</v>
      </c>
      <c r="L16" s="2"/>
    </row>
    <row r="17" spans="1:12">
      <c r="A17" s="2" t="s">
        <v>308</v>
      </c>
      <c r="B17" s="2" t="s">
        <v>309</v>
      </c>
      <c r="C17" s="2" t="s">
        <v>353</v>
      </c>
      <c r="D17" s="2"/>
      <c r="E17" s="2"/>
      <c r="F17" s="2"/>
      <c r="G17" s="2"/>
      <c r="H17" s="2"/>
      <c r="I17" s="2" t="s">
        <v>288</v>
      </c>
      <c r="J17" s="2" t="s">
        <v>304</v>
      </c>
      <c r="K17" s="3">
        <v>0</v>
      </c>
      <c r="L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225</v>
      </c>
      <c r="C1" s="4" t="s">
        <v>267</v>
      </c>
      <c r="D1" s="4" t="s">
        <v>272</v>
      </c>
      <c r="E1" s="4" t="s">
        <v>273</v>
      </c>
      <c r="F1" s="4" t="s">
        <v>274</v>
      </c>
      <c r="G1" s="4" t="s">
        <v>354</v>
      </c>
      <c r="H1" s="4" t="s">
        <v>277</v>
      </c>
      <c r="I1" s="4" t="s">
        <v>276</v>
      </c>
    </row>
    <row r="2" spans="1:9">
      <c r="A2" s="2" t="s">
        <v>355</v>
      </c>
      <c r="B2" s="2" t="s">
        <v>28</v>
      </c>
      <c r="C2" s="2"/>
      <c r="D2" s="2"/>
      <c r="E2" s="3">
        <v>0</v>
      </c>
      <c r="F2" s="3">
        <v>0</v>
      </c>
      <c r="G2" s="2" t="s">
        <v>174</v>
      </c>
      <c r="H2" s="2"/>
      <c r="I2" s="2" t="s">
        <v>356</v>
      </c>
    </row>
    <row r="3" spans="1:9">
      <c r="A3" s="2" t="s">
        <v>357</v>
      </c>
      <c r="B3" s="2" t="s">
        <v>28</v>
      </c>
      <c r="C3" s="2"/>
      <c r="D3" s="2"/>
      <c r="E3" s="3">
        <v>0</v>
      </c>
      <c r="F3" s="3">
        <v>0</v>
      </c>
      <c r="G3" s="2" t="s">
        <v>358</v>
      </c>
      <c r="H3" s="2"/>
      <c r="I3" s="2"/>
    </row>
    <row r="4" spans="1:9">
      <c r="A4" s="2" t="s">
        <v>359</v>
      </c>
      <c r="B4" s="2" t="s">
        <v>28</v>
      </c>
      <c r="C4" s="2"/>
      <c r="D4" s="2"/>
      <c r="E4" s="3">
        <v>0</v>
      </c>
      <c r="F4" s="3">
        <v>0</v>
      </c>
      <c r="G4" s="2" t="s">
        <v>358</v>
      </c>
      <c r="H4" s="2"/>
      <c r="I4" s="2"/>
    </row>
    <row r="5" spans="1:9">
      <c r="A5" s="2" t="s">
        <v>345</v>
      </c>
      <c r="B5" s="2" t="s">
        <v>288</v>
      </c>
      <c r="C5" s="2" t="s">
        <v>346</v>
      </c>
      <c r="D5" s="2"/>
      <c r="E5" s="3">
        <v>0</v>
      </c>
      <c r="F5" s="3">
        <v>0</v>
      </c>
      <c r="G5" s="2" t="s">
        <v>358</v>
      </c>
      <c r="H5" s="2"/>
      <c r="I5" s="2" t="s">
        <v>348</v>
      </c>
    </row>
    <row r="6" spans="1:9">
      <c r="A6" s="2" t="s">
        <v>360</v>
      </c>
      <c r="B6" s="2" t="s">
        <v>28</v>
      </c>
      <c r="C6" s="2"/>
      <c r="D6" s="2"/>
      <c r="E6" s="3">
        <v>0</v>
      </c>
      <c r="F6" s="3">
        <v>0</v>
      </c>
      <c r="G6" s="2" t="s">
        <v>358</v>
      </c>
      <c r="H6" s="2"/>
      <c r="I6" s="2"/>
    </row>
    <row r="7" spans="1:9">
      <c r="A7" s="2" t="s">
        <v>361</v>
      </c>
      <c r="B7" s="2" t="s">
        <v>28</v>
      </c>
      <c r="C7" s="2"/>
      <c r="D7" s="2"/>
      <c r="E7" s="3">
        <v>0</v>
      </c>
      <c r="F7" s="3">
        <v>0</v>
      </c>
      <c r="G7" s="2" t="s">
        <v>358</v>
      </c>
      <c r="H7" s="2"/>
      <c r="I7" s="2"/>
    </row>
    <row r="8" spans="1:9">
      <c r="A8" s="2" t="s">
        <v>362</v>
      </c>
      <c r="B8" s="2" t="s">
        <v>28</v>
      </c>
      <c r="C8" s="2"/>
      <c r="D8" s="2"/>
      <c r="E8" s="3">
        <v>0</v>
      </c>
      <c r="F8" s="3">
        <v>0</v>
      </c>
      <c r="G8" s="2" t="s">
        <v>358</v>
      </c>
      <c r="H8" s="2"/>
      <c r="I8" s="2"/>
    </row>
    <row r="9" spans="1:9">
      <c r="A9" s="2" t="s">
        <v>363</v>
      </c>
      <c r="B9" s="2" t="s">
        <v>28</v>
      </c>
      <c r="C9" s="2"/>
      <c r="D9" s="2"/>
      <c r="E9" s="3">
        <v>0</v>
      </c>
      <c r="F9" s="3">
        <v>0</v>
      </c>
      <c r="G9" s="2" t="s">
        <v>292</v>
      </c>
      <c r="H9" s="2"/>
      <c r="I9" s="2"/>
    </row>
    <row r="10" spans="1:9">
      <c r="A10" s="2" t="s">
        <v>364</v>
      </c>
      <c r="B10" s="2" t="s">
        <v>28</v>
      </c>
      <c r="C10" s="2"/>
      <c r="D10" s="2"/>
      <c r="E10" s="3">
        <v>0</v>
      </c>
      <c r="F10" s="3">
        <v>0</v>
      </c>
      <c r="G10" s="2" t="s">
        <v>307</v>
      </c>
      <c r="H10" s="2"/>
      <c r="I10" s="2" t="s">
        <v>365</v>
      </c>
    </row>
    <row r="11" spans="1:9">
      <c r="A11" s="2" t="s">
        <v>366</v>
      </c>
      <c r="B11" s="2" t="s">
        <v>28</v>
      </c>
      <c r="C11" s="2"/>
      <c r="D11" s="2"/>
      <c r="E11" s="3">
        <v>0</v>
      </c>
      <c r="F11" s="3">
        <v>0</v>
      </c>
      <c r="G11" s="2" t="s">
        <v>292</v>
      </c>
      <c r="H11" s="2"/>
      <c r="I11" s="2"/>
    </row>
    <row r="12" spans="1:9">
      <c r="A12" s="2" t="s">
        <v>367</v>
      </c>
      <c r="B12" s="2" t="s">
        <v>28</v>
      </c>
      <c r="C12" s="2"/>
      <c r="D12" s="2"/>
      <c r="E12" s="3">
        <v>0</v>
      </c>
      <c r="F12" s="3">
        <v>0</v>
      </c>
      <c r="G12" s="2" t="s">
        <v>298</v>
      </c>
      <c r="H12" s="2"/>
      <c r="I12" s="2"/>
    </row>
    <row r="13" spans="1:9">
      <c r="A13" s="2" t="s">
        <v>368</v>
      </c>
      <c r="B13" s="2" t="s">
        <v>28</v>
      </c>
      <c r="C13" s="2"/>
      <c r="D13" s="2"/>
      <c r="E13" s="3">
        <v>0</v>
      </c>
      <c r="F13" s="3">
        <v>0</v>
      </c>
      <c r="G13" s="2" t="s">
        <v>286</v>
      </c>
      <c r="H13" s="2"/>
      <c r="I13" s="2"/>
    </row>
    <row r="14" spans="1:9">
      <c r="A14" s="2" t="s">
        <v>369</v>
      </c>
      <c r="B14" s="2" t="s">
        <v>28</v>
      </c>
      <c r="C14" s="2"/>
      <c r="D14" s="2"/>
      <c r="E14" s="3">
        <v>0</v>
      </c>
      <c r="F14" s="3">
        <v>0</v>
      </c>
      <c r="G14" s="2" t="s">
        <v>174</v>
      </c>
      <c r="H14" s="2"/>
      <c r="I14" s="2" t="s">
        <v>356</v>
      </c>
    </row>
    <row r="15" spans="1:9">
      <c r="A15" s="2" t="s">
        <v>370</v>
      </c>
      <c r="B15" s="2" t="s">
        <v>28</v>
      </c>
      <c r="C15" s="2"/>
      <c r="D15" s="2"/>
      <c r="E15" s="3">
        <v>0</v>
      </c>
      <c r="F15" s="3">
        <v>0</v>
      </c>
      <c r="G15" s="2" t="s">
        <v>292</v>
      </c>
      <c r="H15" s="2"/>
      <c r="I15" s="2"/>
    </row>
    <row r="16" spans="1:9">
      <c r="A16" s="2" t="s">
        <v>371</v>
      </c>
      <c r="B16" s="2" t="s">
        <v>28</v>
      </c>
      <c r="C16" s="2"/>
      <c r="D16" s="2"/>
      <c r="E16" s="3">
        <v>0</v>
      </c>
      <c r="F16" s="3">
        <v>0</v>
      </c>
      <c r="G16" s="2" t="s">
        <v>292</v>
      </c>
      <c r="H16" s="2"/>
      <c r="I16" s="2"/>
    </row>
    <row r="17" spans="1:9">
      <c r="A17" s="2" t="s">
        <v>372</v>
      </c>
      <c r="B17" s="2" t="s">
        <v>28</v>
      </c>
      <c r="C17" s="2"/>
      <c r="D17" s="2"/>
      <c r="E17" s="3">
        <v>0</v>
      </c>
      <c r="F17" s="3">
        <v>0</v>
      </c>
      <c r="G17" s="2" t="s">
        <v>298</v>
      </c>
      <c r="H17" s="2"/>
      <c r="I17" s="2"/>
    </row>
    <row r="18" spans="1:9">
      <c r="A18" s="2" t="s">
        <v>373</v>
      </c>
      <c r="B18" s="2" t="s">
        <v>28</v>
      </c>
      <c r="C18" s="2"/>
      <c r="D18" s="2"/>
      <c r="E18" s="3">
        <v>0</v>
      </c>
      <c r="F18" s="3">
        <v>0</v>
      </c>
      <c r="G18" s="2" t="s">
        <v>174</v>
      </c>
      <c r="H18" s="2"/>
      <c r="I18" s="2" t="s">
        <v>356</v>
      </c>
    </row>
    <row r="19" spans="1:9">
      <c r="A19" s="2" t="s">
        <v>374</v>
      </c>
      <c r="B19" s="2" t="s">
        <v>28</v>
      </c>
      <c r="C19" s="2"/>
      <c r="D19" s="2"/>
      <c r="E19" s="3">
        <v>0</v>
      </c>
      <c r="F19" s="3">
        <v>0</v>
      </c>
      <c r="G19" s="2" t="s">
        <v>174</v>
      </c>
      <c r="H19" s="2"/>
      <c r="I19" s="2" t="s">
        <v>356</v>
      </c>
    </row>
    <row r="20" spans="1:9">
      <c r="A20" s="2" t="s">
        <v>375</v>
      </c>
      <c r="B20" s="2" t="s">
        <v>28</v>
      </c>
      <c r="C20" s="2"/>
      <c r="D20" s="2"/>
      <c r="E20" s="3">
        <v>0</v>
      </c>
      <c r="F20" s="3">
        <v>0</v>
      </c>
      <c r="G20" s="2" t="s">
        <v>174</v>
      </c>
      <c r="H20" s="2"/>
      <c r="I20" s="2" t="s">
        <v>356</v>
      </c>
    </row>
    <row r="21" spans="1:9">
      <c r="A21" s="2" t="s">
        <v>376</v>
      </c>
      <c r="B21" s="2" t="s">
        <v>28</v>
      </c>
      <c r="C21" s="2"/>
      <c r="D21" s="2"/>
      <c r="E21" s="3">
        <v>0</v>
      </c>
      <c r="F21" s="3">
        <v>0</v>
      </c>
      <c r="G21" s="2" t="s">
        <v>377</v>
      </c>
      <c r="H21" s="2"/>
      <c r="I21" s="2" t="s">
        <v>378</v>
      </c>
    </row>
    <row r="22" spans="1:9">
      <c r="A22" s="2" t="s">
        <v>379</v>
      </c>
      <c r="B22" s="2" t="s">
        <v>28</v>
      </c>
      <c r="C22" s="2"/>
      <c r="D22" s="2"/>
      <c r="E22" s="3">
        <v>0</v>
      </c>
      <c r="F22" s="3">
        <v>0</v>
      </c>
      <c r="G22" s="2" t="s">
        <v>174</v>
      </c>
      <c r="H22" s="2"/>
      <c r="I22" s="2" t="s">
        <v>356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380</v>
      </c>
      <c r="E1" s="1" t="s">
        <v>381</v>
      </c>
      <c r="F1" s="1" t="s">
        <v>382</v>
      </c>
    </row>
    <row r="2" spans="1:6">
      <c r="A2" s="2" t="s">
        <v>15</v>
      </c>
      <c r="B2" s="2" t="s">
        <v>19</v>
      </c>
      <c r="C2" s="2" t="s">
        <v>26</v>
      </c>
      <c r="D2" s="2" t="s">
        <v>27</v>
      </c>
      <c r="E2" s="2" t="s">
        <v>21</v>
      </c>
      <c r="F2" s="2" t="s">
        <v>383</v>
      </c>
    </row>
    <row r="3" spans="1:6">
      <c r="A3" s="2" t="s">
        <v>29</v>
      </c>
      <c r="B3" s="2" t="s">
        <v>31</v>
      </c>
      <c r="C3" s="2" t="s">
        <v>38</v>
      </c>
      <c r="D3" s="2" t="s">
        <v>27</v>
      </c>
      <c r="E3" s="2" t="s">
        <v>33</v>
      </c>
      <c r="F3" s="2" t="s">
        <v>383</v>
      </c>
    </row>
    <row r="4" spans="1:6">
      <c r="A4" s="2" t="s">
        <v>39</v>
      </c>
      <c r="B4" s="2" t="s">
        <v>41</v>
      </c>
      <c r="C4" s="2" t="s">
        <v>48</v>
      </c>
      <c r="D4" s="2" t="s">
        <v>27</v>
      </c>
      <c r="E4" s="2" t="s">
        <v>43</v>
      </c>
      <c r="F4" s="2" t="s">
        <v>383</v>
      </c>
    </row>
    <row r="5" spans="1:6">
      <c r="A5" s="2" t="s">
        <v>49</v>
      </c>
      <c r="B5" s="2" t="s">
        <v>51</v>
      </c>
      <c r="C5" s="2" t="s">
        <v>58</v>
      </c>
      <c r="D5" s="2" t="s">
        <v>27</v>
      </c>
      <c r="E5" s="2" t="s">
        <v>53</v>
      </c>
      <c r="F5" s="2" t="s">
        <v>383</v>
      </c>
    </row>
    <row r="6" spans="1:6">
      <c r="A6" s="2" t="s">
        <v>59</v>
      </c>
      <c r="B6" s="2" t="s">
        <v>61</v>
      </c>
      <c r="C6" s="2" t="s">
        <v>68</v>
      </c>
      <c r="D6" s="2" t="s">
        <v>27</v>
      </c>
      <c r="E6" s="2" t="s">
        <v>63</v>
      </c>
      <c r="F6" s="2" t="s">
        <v>383</v>
      </c>
    </row>
    <row r="7" spans="1:6">
      <c r="A7" s="2" t="s">
        <v>69</v>
      </c>
      <c r="B7" s="2" t="s">
        <v>71</v>
      </c>
      <c r="C7" s="2" t="s">
        <v>78</v>
      </c>
      <c r="D7" s="2" t="s">
        <v>79</v>
      </c>
      <c r="E7" s="2" t="s">
        <v>73</v>
      </c>
      <c r="F7" s="2" t="s">
        <v>383</v>
      </c>
    </row>
    <row r="8" spans="1:6">
      <c r="A8" s="2" t="s">
        <v>80</v>
      </c>
      <c r="B8" s="2" t="s">
        <v>83</v>
      </c>
      <c r="C8" s="2" t="s">
        <v>90</v>
      </c>
      <c r="D8" s="2" t="s">
        <v>79</v>
      </c>
      <c r="E8" s="2" t="s">
        <v>85</v>
      </c>
      <c r="F8" s="2" t="s">
        <v>383</v>
      </c>
    </row>
    <row r="9" spans="1:6">
      <c r="A9" s="2" t="s">
        <v>91</v>
      </c>
      <c r="B9" s="2" t="s">
        <v>93</v>
      </c>
      <c r="C9" s="2" t="s">
        <v>100</v>
      </c>
      <c r="D9" s="2" t="s">
        <v>79</v>
      </c>
      <c r="E9" s="2" t="s">
        <v>95</v>
      </c>
      <c r="F9" s="2" t="s">
        <v>383</v>
      </c>
    </row>
    <row r="10" spans="1:6">
      <c r="A10" s="2" t="s">
        <v>101</v>
      </c>
      <c r="B10" s="2" t="s">
        <v>104</v>
      </c>
      <c r="C10" s="2" t="s">
        <v>111</v>
      </c>
      <c r="D10" s="2" t="s">
        <v>79</v>
      </c>
      <c r="E10" s="2" t="s">
        <v>106</v>
      </c>
      <c r="F10" s="2" t="s">
        <v>383</v>
      </c>
    </row>
    <row r="11" spans="1:6">
      <c r="A11" s="2" t="s">
        <v>112</v>
      </c>
      <c r="B11" s="2" t="s">
        <v>114</v>
      </c>
      <c r="C11" s="2" t="s">
        <v>121</v>
      </c>
      <c r="D11" s="2" t="s">
        <v>79</v>
      </c>
      <c r="E11" s="2" t="s">
        <v>116</v>
      </c>
      <c r="F11" s="2" t="s">
        <v>383</v>
      </c>
    </row>
    <row r="12" spans="1:6">
      <c r="A12" s="2" t="s">
        <v>122</v>
      </c>
      <c r="B12" s="2" t="s">
        <v>124</v>
      </c>
      <c r="C12" s="2" t="s">
        <v>131</v>
      </c>
      <c r="D12" s="2" t="s">
        <v>79</v>
      </c>
      <c r="E12" s="2" t="s">
        <v>126</v>
      </c>
      <c r="F12" s="2" t="s">
        <v>383</v>
      </c>
    </row>
    <row r="13" spans="1:6">
      <c r="A13" s="2" t="s">
        <v>132</v>
      </c>
      <c r="B13" s="2" t="s">
        <v>134</v>
      </c>
      <c r="C13" s="2" t="s">
        <v>140</v>
      </c>
      <c r="D13" s="2" t="s">
        <v>79</v>
      </c>
      <c r="E13" s="2" t="s">
        <v>136</v>
      </c>
      <c r="F13" s="2" t="s">
        <v>383</v>
      </c>
    </row>
    <row r="14" spans="1:6">
      <c r="A14" s="2" t="s">
        <v>141</v>
      </c>
      <c r="B14" s="2" t="s">
        <v>144</v>
      </c>
      <c r="C14" s="2" t="s">
        <v>151</v>
      </c>
      <c r="D14" s="2" t="s">
        <v>79</v>
      </c>
      <c r="E14" s="2" t="s">
        <v>146</v>
      </c>
      <c r="F14" s="2" t="s">
        <v>383</v>
      </c>
    </row>
    <row r="15" spans="1:6">
      <c r="A15" s="2" t="s">
        <v>152</v>
      </c>
      <c r="B15" s="2" t="s">
        <v>155</v>
      </c>
      <c r="C15" s="2" t="s">
        <v>162</v>
      </c>
      <c r="D15" s="2" t="s">
        <v>79</v>
      </c>
      <c r="E15" s="2" t="s">
        <v>157</v>
      </c>
      <c r="F15" s="2" t="s">
        <v>383</v>
      </c>
    </row>
    <row r="16" spans="1:6">
      <c r="A16" s="2" t="s">
        <v>163</v>
      </c>
      <c r="B16" s="2" t="s">
        <v>166</v>
      </c>
      <c r="C16" s="2" t="s">
        <v>173</v>
      </c>
      <c r="D16" s="2" t="s">
        <v>174</v>
      </c>
      <c r="E16" s="2" t="s">
        <v>168</v>
      </c>
      <c r="F16" s="2" t="s">
        <v>383</v>
      </c>
    </row>
    <row r="17" spans="1:6">
      <c r="A17" s="2" t="s">
        <v>175</v>
      </c>
      <c r="B17" s="2" t="s">
        <v>178</v>
      </c>
      <c r="C17" s="2" t="s">
        <v>185</v>
      </c>
      <c r="D17" s="2" t="s">
        <v>174</v>
      </c>
      <c r="E17" s="2" t="s">
        <v>180</v>
      </c>
      <c r="F17" s="2" t="s">
        <v>383</v>
      </c>
    </row>
    <row r="18" spans="1:6">
      <c r="A18" s="2" t="s">
        <v>186</v>
      </c>
      <c r="B18" s="2" t="s">
        <v>188</v>
      </c>
      <c r="C18" s="2" t="s">
        <v>195</v>
      </c>
      <c r="D18" s="2" t="s">
        <v>174</v>
      </c>
      <c r="E18" s="2" t="s">
        <v>190</v>
      </c>
      <c r="F18" s="2" t="s">
        <v>383</v>
      </c>
    </row>
    <row r="19" spans="1:6">
      <c r="A19" s="2" t="s">
        <v>196</v>
      </c>
      <c r="B19" s="2" t="s">
        <v>197</v>
      </c>
      <c r="C19" s="2" t="s">
        <v>204</v>
      </c>
      <c r="D19" s="2" t="s">
        <v>174</v>
      </c>
      <c r="E19" s="2" t="s">
        <v>199</v>
      </c>
      <c r="F19" s="2" t="s">
        <v>383</v>
      </c>
    </row>
    <row r="20" spans="1:6">
      <c r="A20" s="2" t="s">
        <v>205</v>
      </c>
      <c r="B20" s="2" t="s">
        <v>207</v>
      </c>
      <c r="C20" s="2" t="s">
        <v>214</v>
      </c>
      <c r="D20" s="2" t="s">
        <v>79</v>
      </c>
      <c r="E20" s="2" t="s">
        <v>209</v>
      </c>
      <c r="F20" s="2" t="s">
        <v>383</v>
      </c>
    </row>
    <row r="21" spans="1:6">
      <c r="A21" s="2" t="s">
        <v>215</v>
      </c>
      <c r="B21" s="2" t="s">
        <v>217</v>
      </c>
      <c r="C21" s="2" t="s">
        <v>223</v>
      </c>
      <c r="D21" s="2" t="s">
        <v>79</v>
      </c>
      <c r="E21" s="2" t="s">
        <v>218</v>
      </c>
      <c r="F21" s="2" t="s">
        <v>383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  <hyperlink ref="C12" r:id="rId11"/>
    <hyperlink ref="C13" r:id="rId12"/>
    <hyperlink ref="C14" r:id="rId13"/>
    <hyperlink ref="C15" r:id="rId14"/>
    <hyperlink ref="C16" r:id="rId15"/>
    <hyperlink ref="C17" r:id="rId16"/>
    <hyperlink ref="C18" r:id="rId17"/>
    <hyperlink ref="C19" r:id="rId18"/>
    <hyperlink ref="C20" r:id="rId19"/>
    <hyperlink ref="C21" r:id="rId2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384</v>
      </c>
      <c r="B1" s="5"/>
      <c r="C1" s="5"/>
      <c r="D1" s="5"/>
      <c r="E1" s="5"/>
      <c r="F1" s="5"/>
    </row>
    <row r="3" spans="1:6">
      <c r="A3" s="1" t="s">
        <v>385</v>
      </c>
      <c r="B3" s="1" t="s">
        <v>386</v>
      </c>
      <c r="C3" s="2"/>
      <c r="D3" s="1" t="s">
        <v>387</v>
      </c>
      <c r="E3" s="1" t="s">
        <v>386</v>
      </c>
      <c r="F3" s="1" t="s">
        <v>388</v>
      </c>
    </row>
    <row r="4" spans="1:6">
      <c r="A4" s="2" t="s">
        <v>28</v>
      </c>
      <c r="B4" s="2">
        <f>COUNTIF(Pipeline!J:J,"Contact Ready")</f>
        <v>0</v>
      </c>
      <c r="D4" s="2" t="s">
        <v>392</v>
      </c>
      <c r="E4" s="3">
        <f>SUM(Pipeline!R:R)</f>
        <v>0</v>
      </c>
      <c r="F4" s="2" t="s">
        <v>393</v>
      </c>
    </row>
    <row r="5" spans="1:6">
      <c r="A5" s="2" t="s">
        <v>288</v>
      </c>
      <c r="B5" s="2">
        <f>COUNTIF(Pipeline!J:J,"Contacted")</f>
        <v>0</v>
      </c>
      <c r="D5" s="2" t="s">
        <v>394</v>
      </c>
      <c r="E5" s="3">
        <f>SUM(Pipeline!K:K)</f>
        <v>0</v>
      </c>
      <c r="F5" s="2" t="s">
        <v>395</v>
      </c>
    </row>
    <row r="6" spans="1:6">
      <c r="A6" s="2" t="s">
        <v>389</v>
      </c>
      <c r="B6" s="2">
        <f>COUNTIF(Pipeline!J:J,"Replied")</f>
        <v>0</v>
      </c>
      <c r="D6" s="2" t="s">
        <v>396</v>
      </c>
      <c r="E6" s="3">
        <f>SUM(Pipeline!L:L)</f>
        <v>0</v>
      </c>
      <c r="F6" s="2" t="s">
        <v>397</v>
      </c>
    </row>
    <row r="7" spans="1:6">
      <c r="A7" s="2" t="s">
        <v>390</v>
      </c>
      <c r="B7" s="2">
        <f>COUNTIF(Pipeline!J:J,"Negotiating")</f>
        <v>0</v>
      </c>
      <c r="D7" s="2" t="s">
        <v>398</v>
      </c>
      <c r="E7" s="6">
        <f>IFERROR(COUNTIF(Pipeline!J:J,"Replied")/COUNTIF(Pipeline!D:D,"&lt;&gt;"),0)</f>
        <v>0</v>
      </c>
      <c r="F7" s="2" t="s">
        <v>399</v>
      </c>
    </row>
    <row r="8" spans="1:6">
      <c r="A8" s="2" t="s">
        <v>391</v>
      </c>
      <c r="B8" s="2">
        <f>COUNTIF(Pipeline!J:J,"Won/Paid")</f>
        <v>0</v>
      </c>
      <c r="D8" s="2" t="s">
        <v>400</v>
      </c>
      <c r="E8" s="6">
        <f>IFERROR(COUNTIF(Pipeline!J:J,"Won/Paid")/COUNTIF(Pipeline!D:D,"&lt;&gt;"),0)</f>
        <v>0</v>
      </c>
      <c r="F8" s="2" t="s">
        <v>401</v>
      </c>
    </row>
    <row r="9" spans="1:6">
      <c r="A9" s="2" t="s">
        <v>275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402</v>
      </c>
      <c r="B1" s="1" t="s">
        <v>403</v>
      </c>
    </row>
    <row r="2" spans="1:2">
      <c r="A2" s="2" t="s">
        <v>404</v>
      </c>
      <c r="B2" s="2" t="s">
        <v>405</v>
      </c>
    </row>
    <row r="3" spans="1:2">
      <c r="A3" s="2" t="s">
        <v>406</v>
      </c>
      <c r="B3" s="2" t="s">
        <v>407</v>
      </c>
    </row>
    <row r="4" spans="1:2">
      <c r="A4" s="2" t="s">
        <v>408</v>
      </c>
      <c r="B4" s="2" t="s">
        <v>409</v>
      </c>
    </row>
    <row r="5" spans="1:2">
      <c r="A5" s="2" t="s">
        <v>410</v>
      </c>
      <c r="B5" s="2" t="s">
        <v>411</v>
      </c>
    </row>
    <row r="6" spans="1:2">
      <c r="A6" s="2" t="s">
        <v>412</v>
      </c>
      <c r="B6" s="2" t="s">
        <v>413</v>
      </c>
    </row>
    <row r="7" spans="1:2">
      <c r="A7" s="2" t="s">
        <v>414</v>
      </c>
      <c r="B7" s="2" t="s">
        <v>415</v>
      </c>
    </row>
    <row r="8" spans="1:2">
      <c r="A8" s="2" t="s">
        <v>416</v>
      </c>
      <c r="B8" s="2" t="s">
        <v>417</v>
      </c>
    </row>
    <row r="9" spans="1:2">
      <c r="A9" s="2" t="s">
        <v>418</v>
      </c>
      <c r="B9" s="2" t="s">
        <v>419</v>
      </c>
    </row>
    <row r="10" spans="1:2">
      <c r="A10" s="2" t="s">
        <v>283</v>
      </c>
      <c r="B10" s="2" t="s">
        <v>420</v>
      </c>
    </row>
    <row r="11" spans="1:2">
      <c r="A11" s="2" t="s">
        <v>421</v>
      </c>
      <c r="B11" s="2" t="s">
        <v>422</v>
      </c>
    </row>
    <row r="12" spans="1:2">
      <c r="A12" s="2" t="s">
        <v>423</v>
      </c>
      <c r="B12" s="2" t="s">
        <v>424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425</v>
      </c>
      <c r="B1" s="1" t="s">
        <v>426</v>
      </c>
      <c r="C1" s="1" t="s">
        <v>427</v>
      </c>
      <c r="D1" s="1" t="s">
        <v>428</v>
      </c>
      <c r="E1" s="1" t="s">
        <v>429</v>
      </c>
    </row>
    <row r="2" spans="1:5">
      <c r="A2" s="2" t="s">
        <v>27</v>
      </c>
      <c r="B2" s="2">
        <v>20</v>
      </c>
      <c r="C2" s="2">
        <v>16</v>
      </c>
      <c r="D2" s="2">
        <v>21</v>
      </c>
      <c r="E2" s="2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2026-09-14T15:26:53Z</dcterms:created>
  <dcterms:modified xsi:type="dcterms:W3CDTF">2026-09-14T15:26:53Z</dcterms:modified>
</cp:coreProperties>
</file>