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ew Lead Queue" sheetId="1" r:id="rId1"/>
    <sheet name="Scripts" sheetId="2" r:id="rId2"/>
    <sheet name="Pipeline" sheetId="3" r:id="rId3"/>
    <sheet name="Actual Outreach History" sheetId="4" r:id="rId4"/>
    <sheet name="Archived Leads" sheetId="5" r:id="rId5"/>
    <sheet name="Sources" sheetId="6" r:id="rId6"/>
    <sheet name="Dashboard" sheetId="7" r:id="rId7"/>
    <sheet name="Update Rules" sheetId="8" r:id="rId8"/>
    <sheet name="Refresh Log" sheetId="9" r:id="rId9"/>
  </sheets>
  <definedNames>
    <definedName name="_xlnm._FilterDatabase" localSheetId="0" hidden="1">'New Lead Queue'!$A$1:$O$11</definedName>
    <definedName name="_xlnm._FilterDatabase" localSheetId="2" hidden="1">Pipeline!$A$1:$R$26</definedName>
  </definedNames>
  <calcPr calcId="124519" fullCalcOnLoad="1"/>
</workbook>
</file>

<file path=xl/sharedStrings.xml><?xml version="1.0" encoding="utf-8"?>
<sst xmlns="http://schemas.openxmlformats.org/spreadsheetml/2006/main" count="677" uniqueCount="330">
  <si>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</si>
  <si>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</si>
  <si>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</si>
  <si>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</si>
  <si>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</si>
  <si>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</si>
  <si>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</si>
  <si>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</si>
  <si>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</si>
  <si>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</si>
  <si>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</si>
  <si>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</si>
  <si>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</si>
  <si>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</si>
  <si>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</si>
  <si>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Amex Roofing</t>
  </si>
  <si>
    <t>Roofing / Repair / Replacement / Inspection</t>
  </si>
  <si>
    <t>San Jose / Bay Area, CA</t>
  </si>
  <si>
    <t>A</t>
  </si>
  <si>
    <t>Official site crawled within two weeks publishes a direct email, free roof inspections, written estimates, project photos, a public license record and 300+ permitted projects referenced through BuildZoom.</t>
  </si>
  <si>
    <t>(510) 761-8120</t>
  </si>
  <si>
    <t>amexroofingca@gmail.com</t>
  </si>
  <si>
    <t>Direct email; free inspection; written quote</t>
  </si>
  <si>
    <t>Turn inspect-first documentation, written scope and completed-project photos into a proof-before-purchase campaign.</t>
  </si>
  <si>
    <t>Proof-before-purchase roofing campaign idea for Amex</t>
  </si>
  <si>
    <t>Hi — I reviewed Amex Roofing’s current site and noticed you already have the ingredients for a strong trust campaign: free inspection, written scope, clear pricing and completed-project photos. Campaign angle: ‘Inspect it. Put the scope in writing. See the work before you decide.’ I’d turn that into inspection posts, repair-vs-replacement FAQs, estimate follow-ups and project-proof content. Same-Day Customer Growth Pack: $150 flat. Want two Amex-specific examples first?</t>
  </si>
  <si>
    <t>https://amex-roofing.com/</t>
  </si>
  <si>
    <t>2026-09-15</t>
  </si>
  <si>
    <t>Contact Ready</t>
  </si>
  <si>
    <t>Valle Construction</t>
  </si>
  <si>
    <t>Remodeling / ADU / Kitchen / Bathroom</t>
  </si>
  <si>
    <t>San Jose / Santa Clara County, CA</t>
  </si>
  <si>
    <t>Official San Jose page crawled Sep 13 publishes direct email, free estimates, ADU/kitchen/bath remodeling, local permit-process familiarity and a stated response within one business day.</t>
  </si>
  <si>
    <t>(669) 225-3277</t>
  </si>
  <si>
    <t>info@valle.construction</t>
  </si>
  <si>
    <t>Direct email; one-business-day response; free estimate</t>
  </si>
  <si>
    <t>Turn San Jose permit familiarity and project feasibility into a pre-estimate planning funnel for ADUs and remodels.</t>
  </si>
  <si>
    <t>San Jose permit-to-estimate campaign idea for Valle</t>
  </si>
  <si>
    <t>Hi — I reviewed Valle Construction’s San Jose page and noticed a useful marketing advantage: you handle ADUs and remodels while already understanding the local permit process. Campaign angle: ‘Before choosing finishes, know what the project can realistically permit, require and cost.’ I’d turn that into permit FAQs, ADU/remodel planning posts and estimate follow-ups. Same-Day Customer Growth Pack: $150 flat. Want two Valle-specific examples first?</t>
  </si>
  <si>
    <t>https://valle.construction/services/san-jose</t>
  </si>
  <si>
    <t>California Bay Roofing Inc</t>
  </si>
  <si>
    <t>Residential / Commercial Roofing / Gutters</t>
  </si>
  <si>
    <t>Official San Jose page crawled Sep 14 publishes two direct email addresses, a free inspection, residential and commercial roofing, flat-roof systems, coatings and seamless-gutter work.</t>
  </si>
  <si>
    <t>(415) 684-4498</t>
  </si>
  <si>
    <t>californiabayroofinginc@gmail.com</t>
  </si>
  <si>
    <t>Direct email; free inspection</t>
  </si>
  <si>
    <t>Use roof-system diagnosis across shingles, flat roofs, coatings and drainage to create a repair-path decision campaign instead of generic replacement advertising.</t>
  </si>
  <si>
    <t>Roof-system diagnosis campaign idea for California Bay Roofing</t>
  </si>
  <si>
    <t>Hi — I reviewed California Bay Roofing’s San Jose services and noticed you work across shingles, flat roofs, coatings and seamless gutters. That supports a stronger campaign than generic roof replacement: ‘Find where the roof system is actually failing before choosing the repair.’ I’d build inspection posts, repair-path FAQs, drainage content and estimate follow-ups. Same-Day Customer Growth Pack: $150 flat. Want two California Bay Roofing-specific examples first?</t>
  </si>
  <si>
    <t>https://www.californiabayroofinginc.net/san-jose-roofing</t>
  </si>
  <si>
    <t>RCK Development</t>
  </si>
  <si>
    <t>Remodeling / ADU / Additions / HVAC / Plumbing</t>
  </si>
  <si>
    <t>Previously verified Sep 14 with direct email, free estimates, realistic estimate/timeline positioning, permit coordination and high-ticket remodel/ADU work.</t>
  </si>
  <si>
    <t>(408) 982-7586</t>
  </si>
  <si>
    <t>therckdevelopment@gmail.com</t>
  </si>
  <si>
    <t>Direct email; same-day message response; free estimate</t>
  </si>
  <si>
    <t>Turn realistic scope, timeline and permit coordination into a no-pressure pre-estimate decision funnel.</t>
  </si>
  <si>
    <t>Realistic remodel estimate campaign idea for RCK</t>
  </si>
  <si>
    <t>Hi — I reviewed RCK Development’s current site and noticed you make a useful promise most contractors avoid: realistic estimates and timelines, with permits and changes handled clearly. Campaign angle: ‘Before choosing finishes, know what the project can realistically cost, how long it can take, and what has to happen first.’ I’d turn that into planning FAQs, ADU/remodel posts and estimate follow-ups. Same-Day Customer Growth Pack: $150 flat. Want two RCK-specific examples first?</t>
  </si>
  <si>
    <t>https://www.rckdevelopment.com/</t>
  </si>
  <si>
    <t>2026-09-14</t>
  </si>
  <si>
    <t>Fox Electric</t>
  </si>
  <si>
    <t>Electrical / EV Charger / Panel Upgrade</t>
  </si>
  <si>
    <t>Official San Jose panel page re-crawled Sep 11 publishes direct email, free on-site estimates, panel upgrades, EV charging and licensed C-10 service.</t>
  </si>
  <si>
    <t>(650) 550-0719</t>
  </si>
  <si>
    <t>info@foxelectrician.com</t>
  </si>
  <si>
    <t>Direct email; free on-site estimate</t>
  </si>
  <si>
    <t>Use load calculation and panel-readiness education to make EV/panel estimates more trustworthy.</t>
  </si>
  <si>
    <t>EV + panel readiness campaign idea for Fox Electric</t>
  </si>
  <si>
    <t>Hi — I reviewed Fox Electric’s San Jose panel and EV services and think the strongest customer question is simple: ‘Does this home actually need a panel upgrade for the next electrical load?’ I’d turn that into EV-readiness FAQs, load-management education, permit posts and estimate follow-ups. Same-Day Customer Growth Pack: $150 flat. Want two Fox-specific examples first?</t>
  </si>
  <si>
    <t>https://foxelectrician.com/services/panel-upgrade/san-jose/</t>
  </si>
  <si>
    <t>Hertz Electric Inc</t>
  </si>
  <si>
    <t>Electrical / EV / Panel / Battery</t>
  </si>
  <si>
    <t>Official site crawled today publishes direct email, same-day/emergency service, free estimates, EV charger and panel work, and PG&amp;E rebate/incentive assistance.</t>
  </si>
  <si>
    <t>(415) 676-0598</t>
  </si>
  <si>
    <t>arash@thehertzelectric.com</t>
  </si>
  <si>
    <t>Direct email; same-day service; free estimate</t>
  </si>
  <si>
    <t>Turn EV charger readiness plus rebate navigation into a fast, high-intent estimate funnel.</t>
  </si>
  <si>
    <t>Same-day EV + rebate campaign idea for Hertz Electric</t>
  </si>
  <si>
    <t>Hi — I reviewed Hertz Electric’s current San Jose page today and saw you combine same-day service, EV charger expertise, panel work and PG&amp;E rebate guidance. Campaign angle: ‘Before installing the charger, know whether the panel is ready and which incentives may reduce the project cost.’ I’d turn that into readiness FAQs, rebate explainer posts and estimate follow-ups. Same-Day Customer Growth Pack: $150 flat. Want two Hertz-specific examples first?</t>
  </si>
  <si>
    <t>https://thehertzelectric.com/</t>
  </si>
  <si>
    <t>Bayco Builders &amp; Restoration</t>
  </si>
  <si>
    <t>Water / Fire / Mold / Sewage / Remodeling</t>
  </si>
  <si>
    <t>Official site reverified this week with direct email, 24/7 emergency response and restoration-to-rebuild positioning.</t>
  </si>
  <si>
    <t>(669) 770-5373</t>
  </si>
  <si>
    <t>baycobuildersandrestoration@gmail.com</t>
  </si>
  <si>
    <t>Direct email; 24/7 emergency response</t>
  </si>
  <si>
    <t>Explain first-hour mitigation and the rebuild path in calm plain language.</t>
  </si>
  <si>
    <t>First-hour restoration campaign idea for Bayco</t>
  </si>
  <si>
    <t>Hi — I reviewed Bayco’s current restoration pages and think the strongest campaign is the full path after an emergency: ‘Stop the damage first, document what happened, then keep the rebuild moving without starting over.’ I’d turn that into first-hour checklists, insurance FAQs, emergency posts and rebuild follow-ups. Same-Day Customer Growth Pack: $150 flat. Want two Bayco-specific examples first?</t>
  </si>
  <si>
    <t>https://baycobuildersandrestoration.com/</t>
  </si>
  <si>
    <t>Shefer Builder</t>
  </si>
  <si>
    <t>Remodeling / ADU / Additions / New Construction</t>
  </si>
  <si>
    <t>Official contact page reverified this week publishes direct email, free estimates, ADU/garage conversion, room additions and seven-day hours.</t>
  </si>
  <si>
    <t>510-571-0060</t>
  </si>
  <si>
    <t>sheferbuilder@gmail.com</t>
  </si>
  <si>
    <t>Direct email; seven-day hours; free estimate</t>
  </si>
  <si>
    <t>Use one-contractor continuity across remodel, ADU and addition work to simplify a complex project decision.</t>
  </si>
  <si>
    <t>ADU + addition decision-flow idea for Shefer Builder</t>
  </si>
  <si>
    <t>Hi — I reviewed Shefer Builder’s current services and saw you handle remodeling, ADUs, garage conversions and room additions. Campaign angle: ‘Before choosing finishes, make the project path — scope, added space and build sequence — easy to understand.’ I’d turn that into ADU/addition FAQs, planning posts and estimate follow-ups. Same-Day Customer Growth Pack: $150 flat. Want two Shefer-specific examples first?</t>
  </si>
  <si>
    <t>https://sheferbuilder.com/contact-us/</t>
  </si>
  <si>
    <t>Ozone Service</t>
  </si>
  <si>
    <t>HVAC / Electrical / Panel / EV</t>
  </si>
  <si>
    <t>Official HVAC/electrical page reverified this week publishes direct email, free estimate, written scope/price, panel upgrades, EV chargers and heat pumps handled under one licensed team.</t>
  </si>
  <si>
    <t>(310) 743-3364</t>
  </si>
  <si>
    <t>info@serviceozone.com</t>
  </si>
  <si>
    <t>Direct email; free estimate; 24/7 phone</t>
  </si>
  <si>
    <t>Market one-team HVAC/electrical coordination for electrification projects that otherwise require multiple contractors.</t>
  </si>
  <si>
    <t>One-team heat-pump + electrical campaign idea for Ozone</t>
  </si>
  <si>
    <t>Hi — I reviewed Ozone’s current HVAC and electrical page and noticed a strong coordination angle: heat pumps, panel upgrades and EV charging can stay with one licensed team instead of being split between contractors. I’d turn that into electrification-readiness FAQs, scope explainers and estimate follow-ups. Same-Day Customer Growth Pack: $150 flat. Want two Ozone-specific examples first?</t>
  </si>
  <si>
    <t>https://serviceozone.com/ozone-hvac-electrical/</t>
  </si>
  <si>
    <t>Silicon Valley Building Service and Repair</t>
  </si>
  <si>
    <t>Remodeling / ADU / Additions</t>
  </si>
  <si>
    <t>San Jose / South Bay, CA</t>
  </si>
  <si>
    <t>Previously verified official pages publish free estimates, fixed-price written scopes, same-day replies during business hours, remodeling, ADUs and additions.</t>
  </si>
  <si>
    <t>(408) 667-4946</t>
  </si>
  <si>
    <t>info@siliconvalleybuilding.com</t>
  </si>
  <si>
    <t>Direct email; usually same-day reply; free estimate</t>
  </si>
  <si>
    <t>Turn scope-first fixed pricing into a high-ticket remodeling decision campaign.</t>
  </si>
  <si>
    <t>Fixed-price remodeling decision-flow idea for SVBSR</t>
  </si>
  <si>
    <t>Hi — I reviewed SVBSR’s current process and noticed a strong trust angle: free estimate, written scope and fixed price before the work starts. Campaign idea: ‘Before committing to a remodel or ADU, make the scope and price understandable.’ I’d build planning FAQs, ADU/remodel posts and estimate follow-ups. Same-Day Customer Growth Pack: $150 flat. Want two SVBSR-specific examples first?</t>
  </si>
  <si>
    <t>https://siliconvalleybuilding.com/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</si>
  <si>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</si>
  <si>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</si>
  <si>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</si>
  <si>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</si>
  <si>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</si>
  <si>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</si>
  <si>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</si>
  <si>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</si>
  <si>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</si>
  <si>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</si>
  <si>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</si>
  <si>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</si>
  <si>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</si>
  <si>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</si>
  <si>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</si>
  <si>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</si>
  <si>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</si>
  <si>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</si>
  <si>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</si>
  <si>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</si>
  <si>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</si>
  <si>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</si>
  <si>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</si>
  <si>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</si>
  <si>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</si>
  <si>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</si>
  <si>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</si>
  <si>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</si>
  <si>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</si>
  <si>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</si>
  <si>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</si>
  <si>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</si>
  <si>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</si>
  <si>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</si>
  <si>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</si>
  <si>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</si>
  <si>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</si>
  <si>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</si>
  <si>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</si>
  <si>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</si>
  <si>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</si>
  <si>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</si>
  <si>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</si>
  <si>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</si>
  <si>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</si>
  <si>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</si>
  <si>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</si>
  <si>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</si>
  <si>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</si>
  <si>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</si>
  <si>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</si>
  <si>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</si>
  <si>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</si>
  <si>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</si>
  <si>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</si>
  <si>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</si>
  <si>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Offer Value $</t>
  </si>
  <si>
    <t>New verified lead added 2026-09-12; no outreach recorded. Use individualized initial pitch.</t>
  </si>
  <si>
    <t>FloodDry Water Damage Restoration</t>
  </si>
  <si>
    <t>Follow-up</t>
  </si>
  <si>
    <t>email</t>
  </si>
  <si>
    <t>2026-09-05T22:50:24-07:00</t>
  </si>
  <si>
    <t>2026-09-08</t>
  </si>
  <si>
    <t>2026-09-08T16:45:47-07:00</t>
  </si>
  <si>
    <t>Contacted</t>
  </si>
  <si>
    <t>Two verified outbound emails, no inbound reply found through 2026-09-12. Do not send another cold touch now.</t>
  </si>
  <si>
    <t>Therma Tech</t>
  </si>
  <si>
    <t>2026-09-05T20:01:38-07:00</t>
  </si>
  <si>
    <t>2026-09-07</t>
  </si>
  <si>
    <t>2026-09-07T13:35:02-07:00</t>
  </si>
  <si>
    <t>2026-09-07T14:19:35-07:00</t>
  </si>
  <si>
    <t>Three verified outbound emails across two connected Gmail accounts; no inbound reply found through 2026-09-12. Stop cold follow-up unless they reply.</t>
  </si>
  <si>
    <t>Dansel Restoration</t>
  </si>
  <si>
    <t>2026-09-05T22:49:58-07:00</t>
  </si>
  <si>
    <t>2026-09-09</t>
  </si>
  <si>
    <t>One verified outbound email; no inbound reply found through 2026-09-12. One final respectful follow-up is permissible, then stop unless they reply.</t>
  </si>
  <si>
    <t>California First Roofing</t>
  </si>
  <si>
    <t>2026-09-05T22:39:21-07:00</t>
  </si>
  <si>
    <t>US Creative Restoration</t>
  </si>
  <si>
    <t>2026-09-05T22:53:01-07:00</t>
  </si>
  <si>
    <t>One verified outbound email; no reply found through 2026-09-12. Eligible for at most one respectful follow-up.</t>
  </si>
  <si>
    <t>WJM Builders</t>
  </si>
  <si>
    <t>2026-09-06T03:30:53-07:00</t>
  </si>
  <si>
    <t>2026-09-10</t>
  </si>
  <si>
    <t>Clean Roofing</t>
  </si>
  <si>
    <t>2026-09-06T03:42:04-07:00</t>
  </si>
  <si>
    <t>Solar Energy Consultants</t>
  </si>
  <si>
    <t>2026-09-06T03:25:44-07:00</t>
  </si>
  <si>
    <t>Mayer's Construction</t>
  </si>
  <si>
    <t>2026-09-06T03:31:58-07:00</t>
  </si>
  <si>
    <t>EVS Mechanical</t>
  </si>
  <si>
    <t>2026-09-06T03:32:27-07:00</t>
  </si>
  <si>
    <t>Dueling Trowels Concrete Solutions</t>
  </si>
  <si>
    <t>2026-09-05T22:39:44-07:00</t>
  </si>
  <si>
    <t>2026-09-06T03:20:39-07:00</t>
  </si>
  <si>
    <t>Two verified outbound emails; no reply found through 2026-09-12. Do not send another cold touch now.</t>
  </si>
  <si>
    <t>GBD Concrete</t>
  </si>
  <si>
    <t>2026-09-05T22:54:30-07:00</t>
  </si>
  <si>
    <t>John Molina Concrete</t>
  </si>
  <si>
    <t>2026-09-05T22:46:13-07:00</t>
  </si>
  <si>
    <t>Precision Concrete Inc</t>
  </si>
  <si>
    <t>2026-09-05T22:40:53-07:00</t>
  </si>
  <si>
    <t>One Day Complete Repipe</t>
  </si>
  <si>
    <t>2026-09-05T22:35:59-07:00</t>
  </si>
  <si>
    <t>First Touch Evidence</t>
  </si>
  <si>
    <t>FU1 Evidence</t>
  </si>
  <si>
    <t>FU2 Evidence</t>
  </si>
  <si>
    <t>Gmail sent message 1a074aa18c4a15e5</t>
  </si>
  <si>
    <t>Gmail sent message 1a07d94dc355abc7</t>
  </si>
  <si>
    <t>Gmail sent message 1a07dbda8027b039</t>
  </si>
  <si>
    <t>Gmail sent message 1a07537695be159d</t>
  </si>
  <si>
    <t>Gmail sent message 1a0753a7d53e5a5c</t>
  </si>
  <si>
    <t>Gmail sent message 1a0753ad793984cf</t>
  </si>
  <si>
    <t>Gmail sent message 1a0763c06f9e9dc5</t>
  </si>
  <si>
    <t>Gmail sent message 1a0753be59b49989</t>
  </si>
  <si>
    <t>Gmail sent message 1a07540c8b9fd4bc</t>
  </si>
  <si>
    <t>Gmail sent message 1a075443349aa830</t>
  </si>
  <si>
    <t>Gmail sent message 1a075449a2403271</t>
  </si>
  <si>
    <t>Gmail sent message 1a08369d9f6b09c0</t>
  </si>
  <si>
    <t>Gmail sent message 1a0754701539a56d</t>
  </si>
  <si>
    <t>Gmail sent message 1a075485ca2a3fef</t>
  </si>
  <si>
    <t>Precision Heating &amp; Cooling</t>
  </si>
  <si>
    <t>2026-09-06T01:37:52-07:00</t>
  </si>
  <si>
    <t>Gmail sent message 1a075ddee6716e8a</t>
  </si>
  <si>
    <t>Historical send discovered during Sep 12 audit; no reply found in connected Gmail search.</t>
  </si>
  <si>
    <t>Gmail sent message 1a07640ae5a69379</t>
  </si>
  <si>
    <t>Gmail sent message 1a076456505c6304</t>
  </si>
  <si>
    <t>Gmail sent message 1a0764664a2b1202</t>
  </si>
  <si>
    <t>Gmail sent message 1a07646d6dbd3474</t>
  </si>
  <si>
    <t>Gmail sent message 1a0764fa024df1f4</t>
  </si>
  <si>
    <t>Archived</t>
  </si>
  <si>
    <t>Leader Restoration</t>
  </si>
  <si>
    <t>2026-09-12</t>
  </si>
  <si>
    <t>Rotated out of fresh queue 2026-09-12; no outreach found in connected Gmail checks.</t>
  </si>
  <si>
    <t>CostLess Heating &amp; Cooling</t>
  </si>
  <si>
    <t>2026-09-06</t>
  </si>
  <si>
    <t>Los Gatos Roofing</t>
  </si>
  <si>
    <t>Roofs By Reveille, Inc</t>
  </si>
  <si>
    <t>A1 Restoration</t>
  </si>
  <si>
    <t>911 Restoration of San Jose</t>
  </si>
  <si>
    <t>Any Hour Water and Fire</t>
  </si>
  <si>
    <t>IRBIS Air Plumbing Electrical</t>
  </si>
  <si>
    <t>Use official web/phone route; no direct email re-verified 2026-09-09.</t>
  </si>
  <si>
    <t>California Water and Fire</t>
  </si>
  <si>
    <t>Infinium Solar, Roofing and Electric</t>
  </si>
  <si>
    <t>Lifetime Roofing &amp; Renovation, Inc.</t>
  </si>
  <si>
    <t>ROOF EXPRESS</t>
  </si>
  <si>
    <t>South Bay Roofing CO</t>
  </si>
  <si>
    <t>Eastman Roofing &amp; Waterproofing, Inc.</t>
  </si>
  <si>
    <t>The Roofer Bros</t>
  </si>
  <si>
    <t>Roof By Tom</t>
  </si>
  <si>
    <t>FairPrice Heating &amp; Cooling</t>
  </si>
  <si>
    <t>Galaxy Heating &amp; Air Conditioning</t>
  </si>
  <si>
    <t>Air &amp; Plumbing Systems</t>
  </si>
  <si>
    <t>2026-09-11</t>
  </si>
  <si>
    <t>Archived from active Top 10 on 2026-09-11; no outreach recorded.</t>
  </si>
  <si>
    <t>Top Tier Roofing</t>
  </si>
  <si>
    <t>Verified Date</t>
  </si>
  <si>
    <t>Direct Contact</t>
  </si>
  <si>
    <t>Reverify Rule</t>
  </si>
  <si>
    <t>Reverify time-sensitive offers, hours, financing, ETA, response-time claims, and contact details before outreach.</t>
  </si>
  <si>
    <t>SAME-DAY CUSTOMER GROWTH PACK — LIVE PIPELINE</t>
  </si>
  <si>
    <t>Metric</t>
  </si>
  <si>
    <t>Value</t>
  </si>
  <si>
    <t>Commercial Metric</t>
  </si>
  <si>
    <t>Meaning</t>
  </si>
  <si>
    <t>Replied</t>
  </si>
  <si>
    <t>Negotiating</t>
  </si>
  <si>
    <t>Won/Paid</t>
  </si>
  <si>
    <t>Nominal Offer Value</t>
  </si>
  <si>
    <t>Potential at the standard package price; not booked revenue.</t>
  </si>
  <si>
    <t>Actual Quoted $</t>
  </si>
  <si>
    <t>Only real negotiated/quoted dollars.</t>
  </si>
  <si>
    <t>Paid Revenue</t>
  </si>
  <si>
    <t>Only actual payments.</t>
  </si>
  <si>
    <t>Response Rate</t>
  </si>
  <si>
    <t>Replies divided by records with a real first touch.</t>
  </si>
  <si>
    <t>Close Rate</t>
  </si>
  <si>
    <t>Wins divided by records with a real first touch.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</si>
  <si>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</si>
  <si>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</si>
  <si>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</si>
  <si>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</si>
  <si>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</si>
  <si>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</si>
  <si>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</si>
  <si>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</si>
  <si>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Fresh means fresh</t>
  </si>
  <si>
    <t>Before a prospect enters New Lead Queue, verify it and check connected Gmail history for prior contact.</t>
  </si>
  <si>
    <t>Evidence</t>
  </si>
  <si>
    <t>Every current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</si>
  <si>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</si>
  <si>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</si>
  <si>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</si>
  <si>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quote, payment, customer, revenue, or fulfillment unless it actually occurred.</t>
  </si>
  <si>
    <t>Offer value</t>
  </si>
  <si>
    <t>The standard package price is potential value, not quoted pipeline or revenue.</t>
  </si>
  <si>
    <t>Initial cold contact + max two respectful cold follow-ups; stop sooner on decline/opt-out and avoid duplicate account touches.</t>
  </si>
  <si>
    <t>Claims</t>
  </si>
  <si>
    <t>No guaranteed leads, ROI, rankings, bookings, response rates, or revenue.</t>
  </si>
  <si>
    <t>Workbook generation</t>
  </si>
  <si>
    <t>GitHub Actions regenerates this XLSX from the live feed + truth-preserving pipeline history.</t>
  </si>
  <si>
    <t>Refresh Date</t>
  </si>
  <si>
    <t>Fresh Leads</t>
  </si>
  <si>
    <t>Observed Contact Records</t>
  </si>
  <si>
    <t>Archived Records</t>
  </si>
  <si>
    <t>Notes</t>
  </si>
  <si>
    <t>Generated from the verified lead feed and preserved pipeline history. Unobserved outcomes remain zero/blank.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</si>
</sst>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/>
    </xf>
    <xf numFmtId="0" fontId="1" fillId="3" borderId="1" xfId="0" applyFont="1" applyFill="1" applyBorder="1" applyAlignment="1">
      <alignment wrapText="1"/>
    </xf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amex-roofing.com/" TargetMode="External"/><Relationship Id="rId2" Type="http://schemas.openxmlformats.org/officeDocument/2006/relationships/hyperlink" Target="https://valle.construction/services/san-jose" TargetMode="External"/><Relationship Id="rId3" Type="http://schemas.openxmlformats.org/officeDocument/2006/relationships/hyperlink" Target="https://www.californiabayroofinginc.net/san-jose-roofing" TargetMode="External"/><Relationship Id="rId4" Type="http://schemas.openxmlformats.org/officeDocument/2006/relationships/hyperlink" Target="https://www.rckdevelopment.com/" TargetMode="External"/><Relationship Id="rId5" Type="http://schemas.openxmlformats.org/officeDocument/2006/relationships/hyperlink" Target="https://foxelectrician.com/services/panel-upgrade/san-jose/" TargetMode="External"/><Relationship Id="rId6" Type="http://schemas.openxmlformats.org/officeDocument/2006/relationships/hyperlink" Target="https://thehertzelectric.com/" TargetMode="External"/><Relationship Id="rId7" Type="http://schemas.openxmlformats.org/officeDocument/2006/relationships/hyperlink" Target="https://baycobuildersandrestoration.com/" TargetMode="External"/><Relationship Id="rId8" Type="http://schemas.openxmlformats.org/officeDocument/2006/relationships/hyperlink" Target="https://sheferbuilder.com/contact-us/" TargetMode="External"/><Relationship Id="rId9" Type="http://schemas.openxmlformats.org/officeDocument/2006/relationships/hyperlink" Target="https://serviceozone.com/ozone-hvac-electrical/" TargetMode="External"/><Relationship Id="rId10" Type="http://schemas.openxmlformats.org/officeDocument/2006/relationships/hyperlink" Target="https://siliconvalleybuilding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amex-roofing.com/" TargetMode="External"/><Relationship Id="rId2" Type="http://schemas.openxmlformats.org/officeDocument/2006/relationships/hyperlink" Target="https://valle.construction/services/san-jose" TargetMode="External"/><Relationship Id="rId3" Type="http://schemas.openxmlformats.org/officeDocument/2006/relationships/hyperlink" Target="https://www.californiabayroofinginc.net/san-jose-roofing" TargetMode="External"/><Relationship Id="rId4" Type="http://schemas.openxmlformats.org/officeDocument/2006/relationships/hyperlink" Target="https://www.rckdevelopment.com/" TargetMode="External"/><Relationship Id="rId5" Type="http://schemas.openxmlformats.org/officeDocument/2006/relationships/hyperlink" Target="https://foxelectrician.com/services/panel-upgrade/san-jose/" TargetMode="External"/><Relationship Id="rId6" Type="http://schemas.openxmlformats.org/officeDocument/2006/relationships/hyperlink" Target="https://thehertzelectric.com/" TargetMode="External"/><Relationship Id="rId7" Type="http://schemas.openxmlformats.org/officeDocument/2006/relationships/hyperlink" Target="https://baycobuildersandrestoration.com/" TargetMode="External"/><Relationship Id="rId8" Type="http://schemas.openxmlformats.org/officeDocument/2006/relationships/hyperlink" Target="https://sheferbuilder.com/contact-us/" TargetMode="External"/><Relationship Id="rId9" Type="http://schemas.openxmlformats.org/officeDocument/2006/relationships/hyperlink" Target="https://serviceozone.com/ozone-hvac-electrical/" TargetMode="External"/><Relationship Id="rId10" Type="http://schemas.openxmlformats.org/officeDocument/2006/relationships/hyperlink" Target="https://siliconvalleybuilding.com/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amex-roofing.com/" TargetMode="External"/><Relationship Id="rId2" Type="http://schemas.openxmlformats.org/officeDocument/2006/relationships/hyperlink" Target="https://valle.construction/services/san-jose" TargetMode="External"/><Relationship Id="rId3" Type="http://schemas.openxmlformats.org/officeDocument/2006/relationships/hyperlink" Target="https://www.californiabayroofinginc.net/san-jose-roofing" TargetMode="External"/><Relationship Id="rId4" Type="http://schemas.openxmlformats.org/officeDocument/2006/relationships/hyperlink" Target="https://www.rckdevelopment.com/" TargetMode="External"/><Relationship Id="rId5" Type="http://schemas.openxmlformats.org/officeDocument/2006/relationships/hyperlink" Target="https://foxelectrician.com/services/panel-upgrade/san-jose/" TargetMode="External"/><Relationship Id="rId6" Type="http://schemas.openxmlformats.org/officeDocument/2006/relationships/hyperlink" Target="https://thehertzelectric.com/" TargetMode="External"/><Relationship Id="rId7" Type="http://schemas.openxmlformats.org/officeDocument/2006/relationships/hyperlink" Target="https://baycobuildersandrestoration.com/" TargetMode="External"/><Relationship Id="rId8" Type="http://schemas.openxmlformats.org/officeDocument/2006/relationships/hyperlink" Target="https://sheferbuilder.com/contact-us/" TargetMode="External"/><Relationship Id="rId9" Type="http://schemas.openxmlformats.org/officeDocument/2006/relationships/hyperlink" Target="https://serviceozone.com/ozone-hvac-electrical/" TargetMode="External"/><Relationship Id="rId10" Type="http://schemas.openxmlformats.org/officeDocument/2006/relationships/hyperlink" Target="https://siliconvalleybuilding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2.7109375" customWidth="1"/>
    <col min="3" max="3" width="26.7109375" customWidth="1"/>
    <col min="4" max="4" width="22.7109375" customWidth="1"/>
    <col min="5" max="5" width="8.7109375" customWidth="1"/>
    <col min="6" max="6" width="54.7109375" customWidth="1"/>
    <col min="7" max="7" width="18.7109375" customWidth="1"/>
    <col min="8" max="8" width="34.7109375" customWidth="1"/>
    <col min="9" max="9" width="30.7109375" customWidth="1"/>
    <col min="10" max="10" width="48.7109375" customWidth="1"/>
    <col min="11" max="11" width="38.7109375" customWidth="1"/>
    <col min="12" max="12" width="72.7109375" customWidth="1"/>
    <col min="13" max="13" width="50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 t="s">
        <v>28</v>
      </c>
    </row>
    <row r="3" spans="1:15">
      <c r="A3" s="2">
        <v>2</v>
      </c>
      <c r="B3" s="2" t="s">
        <v>29</v>
      </c>
      <c r="C3" s="2" t="s">
        <v>30</v>
      </c>
      <c r="D3" s="2" t="s">
        <v>31</v>
      </c>
      <c r="E3" s="2" t="s">
        <v>18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" t="s">
        <v>39</v>
      </c>
      <c r="N3" s="2" t="s">
        <v>27</v>
      </c>
      <c r="O3" s="2" t="s">
        <v>28</v>
      </c>
    </row>
    <row r="4" spans="1:15">
      <c r="A4" s="2">
        <v>3</v>
      </c>
      <c r="B4" s="2" t="s">
        <v>40</v>
      </c>
      <c r="C4" s="2" t="s">
        <v>41</v>
      </c>
      <c r="D4" s="2" t="s">
        <v>17</v>
      </c>
      <c r="E4" s="2" t="s">
        <v>18</v>
      </c>
      <c r="F4" s="2" t="s">
        <v>42</v>
      </c>
      <c r="G4" s="2" t="s">
        <v>43</v>
      </c>
      <c r="H4" s="2" t="s">
        <v>44</v>
      </c>
      <c r="I4" s="2" t="s">
        <v>45</v>
      </c>
      <c r="J4" s="2" t="s">
        <v>46</v>
      </c>
      <c r="K4" s="2" t="s">
        <v>47</v>
      </c>
      <c r="L4" s="2" t="s">
        <v>48</v>
      </c>
      <c r="M4" s="2" t="s">
        <v>49</v>
      </c>
      <c r="N4" s="2" t="s">
        <v>27</v>
      </c>
      <c r="O4" s="2" t="s">
        <v>28</v>
      </c>
    </row>
    <row r="5" spans="1:15">
      <c r="A5" s="2">
        <v>4</v>
      </c>
      <c r="B5" s="2" t="s">
        <v>50</v>
      </c>
      <c r="C5" s="2" t="s">
        <v>51</v>
      </c>
      <c r="D5" s="2" t="s">
        <v>17</v>
      </c>
      <c r="E5" s="2" t="s">
        <v>18</v>
      </c>
      <c r="F5" s="2" t="s">
        <v>52</v>
      </c>
      <c r="G5" s="2" t="s">
        <v>53</v>
      </c>
      <c r="H5" s="2" t="s">
        <v>54</v>
      </c>
      <c r="I5" s="2" t="s">
        <v>55</v>
      </c>
      <c r="J5" s="2" t="s">
        <v>56</v>
      </c>
      <c r="K5" s="2" t="s">
        <v>57</v>
      </c>
      <c r="L5" s="2" t="s">
        <v>58</v>
      </c>
      <c r="M5" s="2" t="s">
        <v>59</v>
      </c>
      <c r="N5" s="2" t="s">
        <v>60</v>
      </c>
      <c r="O5" s="2" t="s">
        <v>28</v>
      </c>
    </row>
    <row r="6" spans="1:15">
      <c r="A6" s="2">
        <v>5</v>
      </c>
      <c r="B6" s="2" t="s">
        <v>61</v>
      </c>
      <c r="C6" s="2" t="s">
        <v>62</v>
      </c>
      <c r="D6" s="2" t="s">
        <v>17</v>
      </c>
      <c r="E6" s="2" t="s">
        <v>18</v>
      </c>
      <c r="F6" s="2" t="s">
        <v>63</v>
      </c>
      <c r="G6" s="2" t="s">
        <v>64</v>
      </c>
      <c r="H6" s="2" t="s">
        <v>65</v>
      </c>
      <c r="I6" s="2" t="s">
        <v>66</v>
      </c>
      <c r="J6" s="2" t="s">
        <v>67</v>
      </c>
      <c r="K6" s="2" t="s">
        <v>68</v>
      </c>
      <c r="L6" s="2" t="s">
        <v>69</v>
      </c>
      <c r="M6" s="2" t="s">
        <v>70</v>
      </c>
      <c r="N6" s="2" t="s">
        <v>27</v>
      </c>
      <c r="O6" s="2" t="s">
        <v>28</v>
      </c>
    </row>
    <row r="7" spans="1:15">
      <c r="A7" s="2">
        <v>6</v>
      </c>
      <c r="B7" s="2" t="s">
        <v>71</v>
      </c>
      <c r="C7" s="2" t="s">
        <v>72</v>
      </c>
      <c r="D7" s="2" t="s">
        <v>17</v>
      </c>
      <c r="E7" s="2" t="s">
        <v>18</v>
      </c>
      <c r="F7" s="2" t="s">
        <v>73</v>
      </c>
      <c r="G7" s="2" t="s">
        <v>74</v>
      </c>
      <c r="H7" s="2" t="s">
        <v>75</v>
      </c>
      <c r="I7" s="2" t="s">
        <v>76</v>
      </c>
      <c r="J7" s="2" t="s">
        <v>77</v>
      </c>
      <c r="K7" s="2" t="s">
        <v>78</v>
      </c>
      <c r="L7" s="2" t="s">
        <v>79</v>
      </c>
      <c r="M7" s="2" t="s">
        <v>80</v>
      </c>
      <c r="N7" s="2" t="s">
        <v>27</v>
      </c>
      <c r="O7" s="2" t="s">
        <v>28</v>
      </c>
    </row>
    <row r="8" spans="1:15">
      <c r="A8" s="2">
        <v>7</v>
      </c>
      <c r="B8" s="2" t="s">
        <v>81</v>
      </c>
      <c r="C8" s="2" t="s">
        <v>82</v>
      </c>
      <c r="D8" s="2" t="s">
        <v>17</v>
      </c>
      <c r="E8" s="2" t="s">
        <v>18</v>
      </c>
      <c r="F8" s="2" t="s">
        <v>83</v>
      </c>
      <c r="G8" s="2" t="s">
        <v>84</v>
      </c>
      <c r="H8" s="2" t="s">
        <v>85</v>
      </c>
      <c r="I8" s="2" t="s">
        <v>86</v>
      </c>
      <c r="J8" s="2" t="s">
        <v>87</v>
      </c>
      <c r="K8" s="2" t="s">
        <v>88</v>
      </c>
      <c r="L8" s="2" t="s">
        <v>89</v>
      </c>
      <c r="M8" s="2" t="s">
        <v>90</v>
      </c>
      <c r="N8" s="2" t="s">
        <v>27</v>
      </c>
      <c r="O8" s="2" t="s">
        <v>28</v>
      </c>
    </row>
    <row r="9" spans="1:15">
      <c r="A9" s="2">
        <v>8</v>
      </c>
      <c r="B9" s="2" t="s">
        <v>91</v>
      </c>
      <c r="C9" s="2" t="s">
        <v>92</v>
      </c>
      <c r="D9" s="2" t="s">
        <v>17</v>
      </c>
      <c r="E9" s="2" t="s">
        <v>18</v>
      </c>
      <c r="F9" s="2" t="s">
        <v>93</v>
      </c>
      <c r="G9" s="2" t="s">
        <v>94</v>
      </c>
      <c r="H9" s="2" t="s">
        <v>95</v>
      </c>
      <c r="I9" s="2" t="s">
        <v>96</v>
      </c>
      <c r="J9" s="2" t="s">
        <v>97</v>
      </c>
      <c r="K9" s="2" t="s">
        <v>98</v>
      </c>
      <c r="L9" s="2" t="s">
        <v>99</v>
      </c>
      <c r="M9" s="2" t="s">
        <v>100</v>
      </c>
      <c r="N9" s="2" t="s">
        <v>27</v>
      </c>
      <c r="O9" s="2" t="s">
        <v>28</v>
      </c>
    </row>
    <row r="10" spans="1:15">
      <c r="A10" s="2">
        <v>9</v>
      </c>
      <c r="B10" s="2" t="s">
        <v>101</v>
      </c>
      <c r="C10" s="2" t="s">
        <v>102</v>
      </c>
      <c r="D10" s="2" t="s">
        <v>17</v>
      </c>
      <c r="E10" s="2" t="s">
        <v>18</v>
      </c>
      <c r="F10" s="2" t="s">
        <v>103</v>
      </c>
      <c r="G10" s="2" t="s">
        <v>104</v>
      </c>
      <c r="H10" s="2" t="s">
        <v>105</v>
      </c>
      <c r="I10" s="2" t="s">
        <v>106</v>
      </c>
      <c r="J10" s="2" t="s">
        <v>107</v>
      </c>
      <c r="K10" s="2" t="s">
        <v>108</v>
      </c>
      <c r="L10" s="2" t="s">
        <v>109</v>
      </c>
      <c r="M10" s="2" t="s">
        <v>110</v>
      </c>
      <c r="N10" s="2" t="s">
        <v>27</v>
      </c>
      <c r="O10" s="2" t="s">
        <v>28</v>
      </c>
    </row>
    <row r="11" spans="1:15">
      <c r="A11" s="2">
        <v>10</v>
      </c>
      <c r="B11" s="2" t="s">
        <v>111</v>
      </c>
      <c r="C11" s="2" t="s">
        <v>112</v>
      </c>
      <c r="D11" s="2" t="s">
        <v>113</v>
      </c>
      <c r="E11" s="2" t="s">
        <v>18</v>
      </c>
      <c r="F11" s="2" t="s">
        <v>114</v>
      </c>
      <c r="G11" s="2" t="s">
        <v>115</v>
      </c>
      <c r="H11" s="2" t="s">
        <v>116</v>
      </c>
      <c r="I11" s="2" t="s">
        <v>117</v>
      </c>
      <c r="J11" s="2" t="s">
        <v>118</v>
      </c>
      <c r="K11" s="2" t="s">
        <v>119</v>
      </c>
      <c r="L11" s="2" t="s">
        <v>120</v>
      </c>
      <c r="M11" s="2" t="s">
        <v>121</v>
      </c>
      <c r="N11" s="2" t="s">
        <v>60</v>
      </c>
      <c r="O11" s="2" t="s">
        <v>28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4.7109375" customWidth="1"/>
    <col min="4" max="4" width="92.7109375" customWidth="1"/>
  </cols>
  <sheetData>
    <row r="1" spans="1:4">
      <c r="A1" s="1" t="s">
        <v>122</v>
      </c>
      <c r="B1" s="1" t="s">
        <v>123</v>
      </c>
      <c r="C1" s="1" t="s">
        <v>124</v>
      </c>
      <c r="D1" s="1" t="s">
        <v>125</v>
      </c>
    </row>
    <row r="2" spans="1:4">
      <c r="A2" s="2" t="s">
        <v>126</v>
      </c>
      <c r="B2" s="2" t="s">
        <v>127</v>
      </c>
      <c r="C2" s="2" t="s">
        <v>128</v>
      </c>
      <c r="D2" s="2" t="s">
        <v>129</v>
      </c>
    </row>
    <row r="3" spans="1:4">
      <c r="A3" s="2" t="s">
        <v>130</v>
      </c>
      <c r="B3" s="2" t="s">
        <v>131</v>
      </c>
      <c r="C3" s="2" t="s">
        <v>132</v>
      </c>
      <c r="D3" s="2" t="s">
        <v>133</v>
      </c>
    </row>
    <row r="4" spans="1:4">
      <c r="A4" s="2" t="s">
        <v>134</v>
      </c>
      <c r="B4" s="2" t="s">
        <v>135</v>
      </c>
      <c r="C4" s="2" t="s">
        <v>136</v>
      </c>
      <c r="D4" s="2" t="s">
        <v>137</v>
      </c>
    </row>
    <row r="5" spans="1:4">
      <c r="A5" s="2" t="s">
        <v>138</v>
      </c>
      <c r="B5" s="2" t="s">
        <v>139</v>
      </c>
      <c r="C5" s="2" t="s">
        <v>140</v>
      </c>
      <c r="D5" s="2" t="s">
        <v>141</v>
      </c>
    </row>
    <row r="6" spans="1:4">
      <c r="A6" s="2" t="s">
        <v>142</v>
      </c>
      <c r="B6" s="2" t="s">
        <v>143</v>
      </c>
      <c r="C6" s="2" t="s">
        <v>144</v>
      </c>
      <c r="D6" s="2" t="s">
        <v>145</v>
      </c>
    </row>
    <row r="7" spans="1:4">
      <c r="A7" s="2" t="s">
        <v>146</v>
      </c>
      <c r="B7" s="2" t="s">
        <v>147</v>
      </c>
      <c r="C7" s="2" t="s">
        <v>148</v>
      </c>
      <c r="D7" s="2" t="s">
        <v>149</v>
      </c>
    </row>
    <row r="8" spans="1:4">
      <c r="A8" s="2" t="s">
        <v>150</v>
      </c>
      <c r="B8" s="2" t="s">
        <v>151</v>
      </c>
      <c r="C8" s="2" t="s">
        <v>152</v>
      </c>
      <c r="D8" s="2" t="s">
        <v>153</v>
      </c>
    </row>
    <row r="9" spans="1:4">
      <c r="A9" s="2" t="s">
        <v>154</v>
      </c>
      <c r="B9" s="2" t="s">
        <v>155</v>
      </c>
      <c r="C9" s="2" t="s">
        <v>156</v>
      </c>
      <c r="D9" s="2" t="s">
        <v>157</v>
      </c>
    </row>
    <row r="10" spans="1:4">
      <c r="A10" s="2" t="s">
        <v>158</v>
      </c>
      <c r="B10" s="2" t="s">
        <v>159</v>
      </c>
      <c r="C10" s="2" t="s">
        <v>160</v>
      </c>
      <c r="D10" s="2" t="s">
        <v>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2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0.7109375" customWidth="1"/>
    <col min="3" max="3" width="34.7109375" customWidth="1"/>
    <col min="4" max="4" width="24.7109375" customWidth="1"/>
    <col min="5" max="5" width="14.7109375" customWidth="1"/>
    <col min="6" max="6" width="24.7109375" customWidth="1"/>
    <col min="7" max="7" width="14.7109375" customWidth="1"/>
    <col min="8" max="8" width="24.7109375" customWidth="1"/>
    <col min="9" max="9" width="38.7109375" customWidth="1"/>
    <col min="10" max="10" width="18.7109375" customWidth="1"/>
    <col min="11" max="12" width="12.7109375" customWidth="1"/>
    <col min="13" max="13" width="14.7109375" customWidth="1"/>
    <col min="14" max="14" width="58.7109375" customWidth="1"/>
    <col min="15" max="15" width="12.7109375" customWidth="1"/>
    <col min="16" max="16" width="14.7109375" customWidth="1"/>
    <col min="17" max="17" width="50.7109375" customWidth="1"/>
    <col min="18" max="18" width="14.7109375" customWidth="1"/>
  </cols>
  <sheetData>
    <row r="1" spans="1:18">
      <c r="A1" s="1" t="s">
        <v>162</v>
      </c>
      <c r="B1" s="1" t="s">
        <v>163</v>
      </c>
      <c r="C1" s="1" t="s">
        <v>164</v>
      </c>
      <c r="D1" s="1" t="s">
        <v>165</v>
      </c>
      <c r="E1" s="1" t="s">
        <v>166</v>
      </c>
      <c r="F1" s="1" t="s">
        <v>167</v>
      </c>
      <c r="G1" s="1" t="s">
        <v>168</v>
      </c>
      <c r="H1" s="1" t="s">
        <v>169</v>
      </c>
      <c r="I1" s="1" t="s">
        <v>170</v>
      </c>
      <c r="J1" s="1" t="s">
        <v>123</v>
      </c>
      <c r="K1" s="1" t="s">
        <v>171</v>
      </c>
      <c r="L1" s="1" t="s">
        <v>172</v>
      </c>
      <c r="M1" s="1" t="s">
        <v>173</v>
      </c>
      <c r="N1" s="1" t="s">
        <v>174</v>
      </c>
      <c r="O1" s="1" t="s">
        <v>175</v>
      </c>
      <c r="P1" s="1" t="s">
        <v>176</v>
      </c>
      <c r="Q1" s="1" t="s">
        <v>177</v>
      </c>
      <c r="R1" s="1" t="s">
        <v>178</v>
      </c>
    </row>
    <row r="2" spans="1:18">
      <c r="A2" s="2" t="s">
        <v>15</v>
      </c>
      <c r="B2" s="2">
        <v>1</v>
      </c>
      <c r="C2" s="2" t="s">
        <v>21</v>
      </c>
      <c r="D2" s="2"/>
      <c r="E2" s="2"/>
      <c r="F2" s="2"/>
      <c r="G2" s="2"/>
      <c r="H2" s="2"/>
      <c r="I2" s="2"/>
      <c r="J2" s="2" t="s">
        <v>28</v>
      </c>
      <c r="K2" s="3">
        <v>0</v>
      </c>
      <c r="L2" s="3">
        <v>0</v>
      </c>
      <c r="M2" s="2"/>
      <c r="N2" s="2"/>
      <c r="O2" s="2"/>
      <c r="P2" s="2" t="s">
        <v>27</v>
      </c>
      <c r="Q2" s="2" t="s">
        <v>26</v>
      </c>
      <c r="R2" s="3">
        <v>150</v>
      </c>
    </row>
    <row r="3" spans="1:18">
      <c r="A3" s="2" t="s">
        <v>29</v>
      </c>
      <c r="B3" s="2">
        <v>2</v>
      </c>
      <c r="C3" s="2" t="s">
        <v>34</v>
      </c>
      <c r="D3" s="2"/>
      <c r="E3" s="2"/>
      <c r="F3" s="2"/>
      <c r="G3" s="2"/>
      <c r="H3" s="2"/>
      <c r="I3" s="2"/>
      <c r="J3" s="2" t="s">
        <v>28</v>
      </c>
      <c r="K3" s="3">
        <v>0</v>
      </c>
      <c r="L3" s="3">
        <v>0</v>
      </c>
      <c r="M3" s="2"/>
      <c r="N3" s="2"/>
      <c r="O3" s="2"/>
      <c r="P3" s="2" t="s">
        <v>27</v>
      </c>
      <c r="Q3" s="2" t="s">
        <v>39</v>
      </c>
      <c r="R3" s="3">
        <v>150</v>
      </c>
    </row>
    <row r="4" spans="1:18">
      <c r="A4" s="2" t="s">
        <v>40</v>
      </c>
      <c r="B4" s="2">
        <v>3</v>
      </c>
      <c r="C4" s="2" t="s">
        <v>44</v>
      </c>
      <c r="D4" s="2"/>
      <c r="E4" s="2"/>
      <c r="F4" s="2"/>
      <c r="G4" s="2"/>
      <c r="H4" s="2"/>
      <c r="I4" s="2"/>
      <c r="J4" s="2" t="s">
        <v>28</v>
      </c>
      <c r="K4" s="3">
        <v>0</v>
      </c>
      <c r="L4" s="3">
        <v>0</v>
      </c>
      <c r="M4" s="2"/>
      <c r="N4" s="2"/>
      <c r="O4" s="2"/>
      <c r="P4" s="2" t="s">
        <v>27</v>
      </c>
      <c r="Q4" s="2" t="s">
        <v>49</v>
      </c>
      <c r="R4" s="3">
        <v>150</v>
      </c>
    </row>
    <row r="5" spans="1:18">
      <c r="A5" s="2" t="s">
        <v>50</v>
      </c>
      <c r="B5" s="2">
        <v>4</v>
      </c>
      <c r="C5" s="2" t="s">
        <v>54</v>
      </c>
      <c r="D5" s="2"/>
      <c r="E5" s="2"/>
      <c r="F5" s="2"/>
      <c r="G5" s="2"/>
      <c r="H5" s="2"/>
      <c r="I5" s="2"/>
      <c r="J5" s="2" t="s">
        <v>28</v>
      </c>
      <c r="K5" s="3">
        <v>0</v>
      </c>
      <c r="L5" s="3">
        <v>0</v>
      </c>
      <c r="M5" s="2"/>
      <c r="N5" s="2"/>
      <c r="O5" s="2"/>
      <c r="P5" s="2" t="s">
        <v>60</v>
      </c>
      <c r="Q5" s="2" t="s">
        <v>59</v>
      </c>
      <c r="R5" s="3">
        <v>150</v>
      </c>
    </row>
    <row r="6" spans="1:18">
      <c r="A6" s="2" t="s">
        <v>61</v>
      </c>
      <c r="B6" s="2">
        <v>5</v>
      </c>
      <c r="C6" s="2" t="s">
        <v>65</v>
      </c>
      <c r="D6" s="2"/>
      <c r="E6" s="2"/>
      <c r="F6" s="2"/>
      <c r="G6" s="2"/>
      <c r="H6" s="2"/>
      <c r="I6" s="2"/>
      <c r="J6" s="2" t="s">
        <v>28</v>
      </c>
      <c r="K6" s="3">
        <v>0</v>
      </c>
      <c r="L6" s="3">
        <v>0</v>
      </c>
      <c r="M6" s="2"/>
      <c r="N6" s="2"/>
      <c r="O6" s="2"/>
      <c r="P6" s="2" t="s">
        <v>27</v>
      </c>
      <c r="Q6" s="2" t="s">
        <v>70</v>
      </c>
      <c r="R6" s="3">
        <v>150</v>
      </c>
    </row>
    <row r="7" spans="1:18">
      <c r="A7" s="2" t="s">
        <v>71</v>
      </c>
      <c r="B7" s="2">
        <v>6</v>
      </c>
      <c r="C7" s="2" t="s">
        <v>75</v>
      </c>
      <c r="D7" s="2"/>
      <c r="E7" s="2"/>
      <c r="F7" s="2"/>
      <c r="G7" s="2"/>
      <c r="H7" s="2"/>
      <c r="I7" s="2"/>
      <c r="J7" s="2" t="s">
        <v>28</v>
      </c>
      <c r="K7" s="3">
        <v>0</v>
      </c>
      <c r="L7" s="3">
        <v>0</v>
      </c>
      <c r="M7" s="2"/>
      <c r="N7" s="2" t="s">
        <v>179</v>
      </c>
      <c r="O7" s="2"/>
      <c r="P7" s="2" t="s">
        <v>27</v>
      </c>
      <c r="Q7" s="2" t="s">
        <v>80</v>
      </c>
      <c r="R7" s="3">
        <v>150</v>
      </c>
    </row>
    <row r="8" spans="1:18">
      <c r="A8" s="2" t="s">
        <v>81</v>
      </c>
      <c r="B8" s="2">
        <v>7</v>
      </c>
      <c r="C8" s="2" t="s">
        <v>85</v>
      </c>
      <c r="D8" s="2"/>
      <c r="E8" s="2"/>
      <c r="F8" s="2"/>
      <c r="G8" s="2"/>
      <c r="H8" s="2"/>
      <c r="I8" s="2"/>
      <c r="J8" s="2" t="s">
        <v>28</v>
      </c>
      <c r="K8" s="3">
        <v>0</v>
      </c>
      <c r="L8" s="3">
        <v>0</v>
      </c>
      <c r="M8" s="2"/>
      <c r="N8" s="2"/>
      <c r="O8" s="2"/>
      <c r="P8" s="2" t="s">
        <v>27</v>
      </c>
      <c r="Q8" s="2" t="s">
        <v>90</v>
      </c>
      <c r="R8" s="3">
        <v>150</v>
      </c>
    </row>
    <row r="9" spans="1:18">
      <c r="A9" s="2" t="s">
        <v>91</v>
      </c>
      <c r="B9" s="2">
        <v>8</v>
      </c>
      <c r="C9" s="2" t="s">
        <v>95</v>
      </c>
      <c r="D9" s="2"/>
      <c r="E9" s="2"/>
      <c r="F9" s="2"/>
      <c r="G9" s="2"/>
      <c r="H9" s="2"/>
      <c r="I9" s="2"/>
      <c r="J9" s="2" t="s">
        <v>28</v>
      </c>
      <c r="K9" s="3">
        <v>0</v>
      </c>
      <c r="L9" s="3">
        <v>0</v>
      </c>
      <c r="M9" s="2"/>
      <c r="N9" s="2"/>
      <c r="O9" s="2"/>
      <c r="P9" s="2" t="s">
        <v>27</v>
      </c>
      <c r="Q9" s="2" t="s">
        <v>100</v>
      </c>
      <c r="R9" s="3">
        <v>150</v>
      </c>
    </row>
    <row r="10" spans="1:18">
      <c r="A10" s="2" t="s">
        <v>101</v>
      </c>
      <c r="B10" s="2">
        <v>9</v>
      </c>
      <c r="C10" s="2" t="s">
        <v>105</v>
      </c>
      <c r="D10" s="2"/>
      <c r="E10" s="2"/>
      <c r="F10" s="2"/>
      <c r="G10" s="2"/>
      <c r="H10" s="2"/>
      <c r="I10" s="2"/>
      <c r="J10" s="2" t="s">
        <v>28</v>
      </c>
      <c r="K10" s="3">
        <v>0</v>
      </c>
      <c r="L10" s="3">
        <v>0</v>
      </c>
      <c r="M10" s="2"/>
      <c r="N10" s="2" t="s">
        <v>179</v>
      </c>
      <c r="O10" s="2"/>
      <c r="P10" s="2" t="s">
        <v>27</v>
      </c>
      <c r="Q10" s="2" t="s">
        <v>110</v>
      </c>
      <c r="R10" s="3">
        <v>150</v>
      </c>
    </row>
    <row r="11" spans="1:18">
      <c r="A11" s="2" t="s">
        <v>111</v>
      </c>
      <c r="B11" s="2">
        <v>10</v>
      </c>
      <c r="C11" s="2" t="s">
        <v>116</v>
      </c>
      <c r="D11" s="2"/>
      <c r="E11" s="2"/>
      <c r="F11" s="2"/>
      <c r="G11" s="2"/>
      <c r="H11" s="2"/>
      <c r="I11" s="2"/>
      <c r="J11" s="2" t="s">
        <v>28</v>
      </c>
      <c r="K11" s="3">
        <v>0</v>
      </c>
      <c r="L11" s="3">
        <v>0</v>
      </c>
      <c r="M11" s="2"/>
      <c r="N11" s="2" t="s">
        <v>179</v>
      </c>
      <c r="O11" s="2"/>
      <c r="P11" s="2" t="s">
        <v>60</v>
      </c>
      <c r="Q11" s="2" t="s">
        <v>121</v>
      </c>
      <c r="R11" s="3">
        <v>150</v>
      </c>
    </row>
    <row r="12" spans="1:18">
      <c r="A12" s="2" t="s">
        <v>180</v>
      </c>
      <c r="B12" s="2" t="s">
        <v>181</v>
      </c>
      <c r="C12" s="2" t="s">
        <v>182</v>
      </c>
      <c r="D12" s="2" t="s">
        <v>183</v>
      </c>
      <c r="E12" s="2" t="s">
        <v>184</v>
      </c>
      <c r="F12" s="2" t="s">
        <v>185</v>
      </c>
      <c r="G12" s="2"/>
      <c r="H12" s="2"/>
      <c r="I12" s="2"/>
      <c r="J12" s="2" t="s">
        <v>186</v>
      </c>
      <c r="K12" s="3">
        <v>0</v>
      </c>
      <c r="L12" s="3">
        <v>0</v>
      </c>
      <c r="M12" s="2"/>
      <c r="N12" s="2" t="s">
        <v>187</v>
      </c>
      <c r="O12" s="2"/>
      <c r="P12" s="2"/>
      <c r="Q12" s="2"/>
      <c r="R12" s="3">
        <v>150</v>
      </c>
    </row>
    <row r="13" spans="1:18">
      <c r="A13" s="2" t="s">
        <v>188</v>
      </c>
      <c r="B13" s="2" t="s">
        <v>181</v>
      </c>
      <c r="C13" s="2" t="s">
        <v>182</v>
      </c>
      <c r="D13" s="2" t="s">
        <v>189</v>
      </c>
      <c r="E13" s="2" t="s">
        <v>190</v>
      </c>
      <c r="F13" s="2" t="s">
        <v>191</v>
      </c>
      <c r="G13" s="2" t="s">
        <v>190</v>
      </c>
      <c r="H13" s="2" t="s">
        <v>192</v>
      </c>
      <c r="I13" s="2"/>
      <c r="J13" s="2" t="s">
        <v>186</v>
      </c>
      <c r="K13" s="3">
        <v>0</v>
      </c>
      <c r="L13" s="3">
        <v>0</v>
      </c>
      <c r="M13" s="2"/>
      <c r="N13" s="2" t="s">
        <v>193</v>
      </c>
      <c r="O13" s="2"/>
      <c r="P13" s="2"/>
      <c r="Q13" s="2"/>
      <c r="R13" s="3">
        <v>150</v>
      </c>
    </row>
    <row r="14" spans="1:18">
      <c r="A14" s="2" t="s">
        <v>194</v>
      </c>
      <c r="B14" s="2" t="s">
        <v>181</v>
      </c>
      <c r="C14" s="2" t="s">
        <v>182</v>
      </c>
      <c r="D14" s="2" t="s">
        <v>195</v>
      </c>
      <c r="E14" s="2" t="s">
        <v>196</v>
      </c>
      <c r="F14" s="2"/>
      <c r="G14" s="2"/>
      <c r="H14" s="2"/>
      <c r="I14" s="2"/>
      <c r="J14" s="2" t="s">
        <v>186</v>
      </c>
      <c r="K14" s="3">
        <v>0</v>
      </c>
      <c r="L14" s="3">
        <v>0</v>
      </c>
      <c r="M14" s="2"/>
      <c r="N14" s="2" t="s">
        <v>197</v>
      </c>
      <c r="O14" s="2"/>
      <c r="P14" s="2"/>
      <c r="Q14" s="2"/>
      <c r="R14" s="3">
        <v>150</v>
      </c>
    </row>
    <row r="15" spans="1:18">
      <c r="A15" s="2" t="s">
        <v>198</v>
      </c>
      <c r="B15" s="2" t="s">
        <v>181</v>
      </c>
      <c r="C15" s="2" t="s">
        <v>182</v>
      </c>
      <c r="D15" s="2" t="s">
        <v>199</v>
      </c>
      <c r="E15" s="2" t="s">
        <v>196</v>
      </c>
      <c r="F15" s="2"/>
      <c r="G15" s="2"/>
      <c r="H15" s="2"/>
      <c r="I15" s="2"/>
      <c r="J15" s="2" t="s">
        <v>186</v>
      </c>
      <c r="K15" s="3">
        <v>0</v>
      </c>
      <c r="L15" s="3">
        <v>0</v>
      </c>
      <c r="M15" s="2"/>
      <c r="N15" s="2" t="s">
        <v>197</v>
      </c>
      <c r="O15" s="2"/>
      <c r="P15" s="2"/>
      <c r="Q15" s="2"/>
      <c r="R15" s="3">
        <v>150</v>
      </c>
    </row>
    <row r="16" spans="1:18">
      <c r="A16" s="2" t="s">
        <v>200</v>
      </c>
      <c r="B16" s="2" t="s">
        <v>181</v>
      </c>
      <c r="C16" s="2" t="s">
        <v>182</v>
      </c>
      <c r="D16" s="2" t="s">
        <v>201</v>
      </c>
      <c r="E16" s="2" t="s">
        <v>196</v>
      </c>
      <c r="F16" s="2"/>
      <c r="G16" s="2"/>
      <c r="H16" s="2"/>
      <c r="I16" s="2"/>
      <c r="J16" s="2" t="s">
        <v>186</v>
      </c>
      <c r="K16" s="3">
        <v>0</v>
      </c>
      <c r="L16" s="3">
        <v>0</v>
      </c>
      <c r="M16" s="2"/>
      <c r="N16" s="2" t="s">
        <v>202</v>
      </c>
      <c r="O16" s="2"/>
      <c r="P16" s="2"/>
      <c r="Q16" s="2"/>
      <c r="R16" s="3">
        <v>150</v>
      </c>
    </row>
    <row r="17" spans="1:18">
      <c r="A17" s="2" t="s">
        <v>203</v>
      </c>
      <c r="B17" s="2" t="s">
        <v>181</v>
      </c>
      <c r="C17" s="2" t="s">
        <v>182</v>
      </c>
      <c r="D17" s="2" t="s">
        <v>204</v>
      </c>
      <c r="E17" s="2" t="s">
        <v>205</v>
      </c>
      <c r="F17" s="2"/>
      <c r="G17" s="2"/>
      <c r="H17" s="2"/>
      <c r="I17" s="2"/>
      <c r="J17" s="2" t="s">
        <v>186</v>
      </c>
      <c r="K17" s="3">
        <v>0</v>
      </c>
      <c r="L17" s="3">
        <v>0</v>
      </c>
      <c r="M17" s="2"/>
      <c r="N17" s="2" t="s">
        <v>202</v>
      </c>
      <c r="O17" s="2"/>
      <c r="P17" s="2"/>
      <c r="Q17" s="2"/>
      <c r="R17" s="3">
        <v>150</v>
      </c>
    </row>
    <row r="18" spans="1:18">
      <c r="A18" s="2" t="s">
        <v>206</v>
      </c>
      <c r="B18" s="2" t="s">
        <v>181</v>
      </c>
      <c r="C18" s="2" t="s">
        <v>182</v>
      </c>
      <c r="D18" s="2" t="s">
        <v>207</v>
      </c>
      <c r="E18" s="2" t="s">
        <v>205</v>
      </c>
      <c r="F18" s="2"/>
      <c r="G18" s="2"/>
      <c r="H18" s="2"/>
      <c r="I18" s="2"/>
      <c r="J18" s="2" t="s">
        <v>186</v>
      </c>
      <c r="K18" s="3">
        <v>0</v>
      </c>
      <c r="L18" s="3">
        <v>0</v>
      </c>
      <c r="M18" s="2"/>
      <c r="N18" s="2" t="s">
        <v>202</v>
      </c>
      <c r="O18" s="2"/>
      <c r="P18" s="2"/>
      <c r="Q18" s="2"/>
      <c r="R18" s="3">
        <v>150</v>
      </c>
    </row>
    <row r="19" spans="1:18">
      <c r="A19" s="2" t="s">
        <v>208</v>
      </c>
      <c r="B19" s="2" t="s">
        <v>181</v>
      </c>
      <c r="C19" s="2" t="s">
        <v>182</v>
      </c>
      <c r="D19" s="2" t="s">
        <v>209</v>
      </c>
      <c r="E19" s="2" t="s">
        <v>205</v>
      </c>
      <c r="F19" s="2"/>
      <c r="G19" s="2"/>
      <c r="H19" s="2"/>
      <c r="I19" s="2"/>
      <c r="J19" s="2" t="s">
        <v>186</v>
      </c>
      <c r="K19" s="3">
        <v>0</v>
      </c>
      <c r="L19" s="3">
        <v>0</v>
      </c>
      <c r="M19" s="2"/>
      <c r="N19" s="2" t="s">
        <v>202</v>
      </c>
      <c r="O19" s="2"/>
      <c r="P19" s="2"/>
      <c r="Q19" s="2"/>
      <c r="R19" s="3">
        <v>150</v>
      </c>
    </row>
    <row r="20" spans="1:18">
      <c r="A20" s="2" t="s">
        <v>210</v>
      </c>
      <c r="B20" s="2" t="s">
        <v>181</v>
      </c>
      <c r="C20" s="2" t="s">
        <v>182</v>
      </c>
      <c r="D20" s="2" t="s">
        <v>211</v>
      </c>
      <c r="E20" s="2" t="s">
        <v>205</v>
      </c>
      <c r="F20" s="2"/>
      <c r="G20" s="2"/>
      <c r="H20" s="2"/>
      <c r="I20" s="2"/>
      <c r="J20" s="2" t="s">
        <v>186</v>
      </c>
      <c r="K20" s="3">
        <v>0</v>
      </c>
      <c r="L20" s="3">
        <v>0</v>
      </c>
      <c r="M20" s="2"/>
      <c r="N20" s="2" t="s">
        <v>202</v>
      </c>
      <c r="O20" s="2"/>
      <c r="P20" s="2"/>
      <c r="Q20" s="2"/>
      <c r="R20" s="3">
        <v>150</v>
      </c>
    </row>
    <row r="21" spans="1:18">
      <c r="A21" s="2" t="s">
        <v>212</v>
      </c>
      <c r="B21" s="2" t="s">
        <v>181</v>
      </c>
      <c r="C21" s="2" t="s">
        <v>182</v>
      </c>
      <c r="D21" s="2" t="s">
        <v>213</v>
      </c>
      <c r="E21" s="2" t="s">
        <v>205</v>
      </c>
      <c r="F21" s="2"/>
      <c r="G21" s="2"/>
      <c r="H21" s="2"/>
      <c r="I21" s="2"/>
      <c r="J21" s="2" t="s">
        <v>186</v>
      </c>
      <c r="K21" s="3">
        <v>0</v>
      </c>
      <c r="L21" s="3">
        <v>0</v>
      </c>
      <c r="M21" s="2"/>
      <c r="N21" s="2" t="s">
        <v>202</v>
      </c>
      <c r="O21" s="2"/>
      <c r="P21" s="2"/>
      <c r="Q21" s="2"/>
      <c r="R21" s="3">
        <v>150</v>
      </c>
    </row>
    <row r="22" spans="1:18">
      <c r="A22" s="2" t="s">
        <v>214</v>
      </c>
      <c r="B22" s="2" t="s">
        <v>181</v>
      </c>
      <c r="C22" s="2" t="s">
        <v>182</v>
      </c>
      <c r="D22" s="2" t="s">
        <v>215</v>
      </c>
      <c r="E22" s="2" t="s">
        <v>196</v>
      </c>
      <c r="F22" s="2" t="s">
        <v>216</v>
      </c>
      <c r="G22" s="2"/>
      <c r="H22" s="2"/>
      <c r="I22" s="2"/>
      <c r="J22" s="2" t="s">
        <v>186</v>
      </c>
      <c r="K22" s="3">
        <v>0</v>
      </c>
      <c r="L22" s="3">
        <v>0</v>
      </c>
      <c r="M22" s="2"/>
      <c r="N22" s="2" t="s">
        <v>217</v>
      </c>
      <c r="O22" s="2"/>
      <c r="P22" s="2"/>
      <c r="Q22" s="2"/>
      <c r="R22" s="3">
        <v>150</v>
      </c>
    </row>
    <row r="23" spans="1:18">
      <c r="A23" s="2" t="s">
        <v>218</v>
      </c>
      <c r="B23" s="2" t="s">
        <v>181</v>
      </c>
      <c r="C23" s="2" t="s">
        <v>182</v>
      </c>
      <c r="D23" s="2" t="s">
        <v>219</v>
      </c>
      <c r="E23" s="2" t="s">
        <v>196</v>
      </c>
      <c r="F23" s="2"/>
      <c r="G23" s="2"/>
      <c r="H23" s="2"/>
      <c r="I23" s="2"/>
      <c r="J23" s="2" t="s">
        <v>186</v>
      </c>
      <c r="K23" s="3">
        <v>0</v>
      </c>
      <c r="L23" s="3">
        <v>0</v>
      </c>
      <c r="M23" s="2"/>
      <c r="N23" s="2" t="s">
        <v>202</v>
      </c>
      <c r="O23" s="2"/>
      <c r="P23" s="2"/>
      <c r="Q23" s="2"/>
      <c r="R23" s="3">
        <v>150</v>
      </c>
    </row>
    <row r="24" spans="1:18">
      <c r="A24" s="2" t="s">
        <v>220</v>
      </c>
      <c r="B24" s="2" t="s">
        <v>181</v>
      </c>
      <c r="C24" s="2" t="s">
        <v>182</v>
      </c>
      <c r="D24" s="2" t="s">
        <v>221</v>
      </c>
      <c r="E24" s="2" t="s">
        <v>196</v>
      </c>
      <c r="F24" s="2"/>
      <c r="G24" s="2"/>
      <c r="H24" s="2"/>
      <c r="I24" s="2"/>
      <c r="J24" s="2" t="s">
        <v>186</v>
      </c>
      <c r="K24" s="3">
        <v>0</v>
      </c>
      <c r="L24" s="3">
        <v>0</v>
      </c>
      <c r="M24" s="2"/>
      <c r="N24" s="2" t="s">
        <v>202</v>
      </c>
      <c r="O24" s="2"/>
      <c r="P24" s="2"/>
      <c r="Q24" s="2"/>
      <c r="R24" s="3">
        <v>150</v>
      </c>
    </row>
    <row r="25" spans="1:18">
      <c r="A25" s="2" t="s">
        <v>222</v>
      </c>
      <c r="B25" s="2" t="s">
        <v>181</v>
      </c>
      <c r="C25" s="2" t="s">
        <v>182</v>
      </c>
      <c r="D25" s="2" t="s">
        <v>223</v>
      </c>
      <c r="E25" s="2" t="s">
        <v>196</v>
      </c>
      <c r="F25" s="2"/>
      <c r="G25" s="2"/>
      <c r="H25" s="2"/>
      <c r="I25" s="2"/>
      <c r="J25" s="2" t="s">
        <v>186</v>
      </c>
      <c r="K25" s="3">
        <v>0</v>
      </c>
      <c r="L25" s="3">
        <v>0</v>
      </c>
      <c r="M25" s="2"/>
      <c r="N25" s="2" t="s">
        <v>202</v>
      </c>
      <c r="O25" s="2"/>
      <c r="P25" s="2"/>
      <c r="Q25" s="2"/>
      <c r="R25" s="3">
        <v>150</v>
      </c>
    </row>
    <row r="26" spans="1:18">
      <c r="A26" s="2" t="s">
        <v>224</v>
      </c>
      <c r="B26" s="2" t="s">
        <v>181</v>
      </c>
      <c r="C26" s="2" t="s">
        <v>182</v>
      </c>
      <c r="D26" s="2" t="s">
        <v>225</v>
      </c>
      <c r="E26" s="2" t="s">
        <v>196</v>
      </c>
      <c r="F26" s="2"/>
      <c r="G26" s="2"/>
      <c r="H26" s="2"/>
      <c r="I26" s="2"/>
      <c r="J26" s="2" t="s">
        <v>186</v>
      </c>
      <c r="K26" s="3">
        <v>0</v>
      </c>
      <c r="L26" s="3">
        <v>0</v>
      </c>
      <c r="M26" s="2"/>
      <c r="N26" s="2" t="s">
        <v>202</v>
      </c>
      <c r="O26" s="2"/>
      <c r="P26" s="2"/>
      <c r="Q26" s="2"/>
      <c r="R26" s="3">
        <v>150</v>
      </c>
    </row>
  </sheetData>
  <autoFilter ref="A1:R26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4.7109375" customWidth="1"/>
    <col min="3" max="3" width="44.7109375" customWidth="1"/>
    <col min="4" max="4" width="24.7109375" customWidth="1"/>
    <col min="5" max="5" width="44.7109375" customWidth="1"/>
    <col min="6" max="6" width="24.7109375" customWidth="1"/>
    <col min="7" max="7" width="44.7109375" customWidth="1"/>
    <col min="8" max="8" width="36.7109375" customWidth="1"/>
    <col min="9" max="9" width="18.7109375" customWidth="1"/>
    <col min="10" max="10" width="66.7109375" customWidth="1"/>
    <col min="11" max="11" width="12.7109375" customWidth="1"/>
    <col min="12" max="12" width="14.7109375" customWidth="1"/>
  </cols>
  <sheetData>
    <row r="1" spans="1:12">
      <c r="A1" s="1" t="s">
        <v>1</v>
      </c>
      <c r="B1" s="1" t="s">
        <v>165</v>
      </c>
      <c r="C1" s="1" t="s">
        <v>226</v>
      </c>
      <c r="D1" s="1" t="s">
        <v>167</v>
      </c>
      <c r="E1" s="1" t="s">
        <v>227</v>
      </c>
      <c r="F1" s="1" t="s">
        <v>169</v>
      </c>
      <c r="G1" s="1" t="s">
        <v>228</v>
      </c>
      <c r="H1" s="1" t="s">
        <v>170</v>
      </c>
      <c r="I1" s="1" t="s">
        <v>123</v>
      </c>
      <c r="J1" s="1" t="s">
        <v>174</v>
      </c>
      <c r="K1" s="1" t="s">
        <v>172</v>
      </c>
      <c r="L1" s="1" t="s">
        <v>173</v>
      </c>
    </row>
    <row r="2" spans="1:12">
      <c r="A2" s="2" t="s">
        <v>188</v>
      </c>
      <c r="B2" s="2" t="s">
        <v>189</v>
      </c>
      <c r="C2" s="2" t="s">
        <v>229</v>
      </c>
      <c r="D2" s="2" t="s">
        <v>191</v>
      </c>
      <c r="E2" s="2" t="s">
        <v>230</v>
      </c>
      <c r="F2" s="2" t="s">
        <v>192</v>
      </c>
      <c r="G2" s="2" t="s">
        <v>231</v>
      </c>
      <c r="H2" s="2"/>
      <c r="I2" s="2" t="s">
        <v>186</v>
      </c>
      <c r="J2" s="2" t="s">
        <v>193</v>
      </c>
      <c r="K2" s="3">
        <v>0</v>
      </c>
      <c r="L2" s="2"/>
    </row>
    <row r="3" spans="1:12">
      <c r="A3" s="2" t="s">
        <v>224</v>
      </c>
      <c r="B3" s="2" t="s">
        <v>225</v>
      </c>
      <c r="C3" s="2" t="s">
        <v>232</v>
      </c>
      <c r="D3" s="2"/>
      <c r="E3" s="2"/>
      <c r="F3" s="2"/>
      <c r="G3" s="2"/>
      <c r="H3" s="2"/>
      <c r="I3" s="2" t="s">
        <v>186</v>
      </c>
      <c r="J3" s="2" t="s">
        <v>202</v>
      </c>
      <c r="K3" s="3">
        <v>0</v>
      </c>
      <c r="L3" s="2"/>
    </row>
    <row r="4" spans="1:12">
      <c r="A4" s="2" t="s">
        <v>198</v>
      </c>
      <c r="B4" s="2" t="s">
        <v>199</v>
      </c>
      <c r="C4" s="2" t="s">
        <v>233</v>
      </c>
      <c r="D4" s="2"/>
      <c r="E4" s="2"/>
      <c r="F4" s="2"/>
      <c r="G4" s="2"/>
      <c r="H4" s="2"/>
      <c r="I4" s="2" t="s">
        <v>186</v>
      </c>
      <c r="J4" s="2" t="s">
        <v>197</v>
      </c>
      <c r="K4" s="3">
        <v>0</v>
      </c>
      <c r="L4" s="2"/>
    </row>
    <row r="5" spans="1:12">
      <c r="A5" s="2" t="s">
        <v>214</v>
      </c>
      <c r="B5" s="2" t="s">
        <v>215</v>
      </c>
      <c r="C5" s="2" t="s">
        <v>234</v>
      </c>
      <c r="D5" s="2" t="s">
        <v>216</v>
      </c>
      <c r="E5" s="2" t="s">
        <v>235</v>
      </c>
      <c r="F5" s="2"/>
      <c r="G5" s="2"/>
      <c r="H5" s="2"/>
      <c r="I5" s="2" t="s">
        <v>186</v>
      </c>
      <c r="J5" s="2" t="s">
        <v>217</v>
      </c>
      <c r="K5" s="3">
        <v>0</v>
      </c>
      <c r="L5" s="2"/>
    </row>
    <row r="6" spans="1:12">
      <c r="A6" s="2" t="s">
        <v>222</v>
      </c>
      <c r="B6" s="2" t="s">
        <v>223</v>
      </c>
      <c r="C6" s="2" t="s">
        <v>236</v>
      </c>
      <c r="D6" s="2"/>
      <c r="E6" s="2"/>
      <c r="F6" s="2"/>
      <c r="G6" s="2"/>
      <c r="H6" s="2"/>
      <c r="I6" s="2" t="s">
        <v>186</v>
      </c>
      <c r="J6" s="2" t="s">
        <v>202</v>
      </c>
      <c r="K6" s="3">
        <v>0</v>
      </c>
      <c r="L6" s="2"/>
    </row>
    <row r="7" spans="1:12">
      <c r="A7" s="2" t="s">
        <v>220</v>
      </c>
      <c r="B7" s="2" t="s">
        <v>221</v>
      </c>
      <c r="C7" s="2" t="s">
        <v>237</v>
      </c>
      <c r="D7" s="2"/>
      <c r="E7" s="2"/>
      <c r="F7" s="2"/>
      <c r="G7" s="2"/>
      <c r="H7" s="2"/>
      <c r="I7" s="2" t="s">
        <v>186</v>
      </c>
      <c r="J7" s="2" t="s">
        <v>202</v>
      </c>
      <c r="K7" s="3">
        <v>0</v>
      </c>
      <c r="L7" s="2"/>
    </row>
    <row r="8" spans="1:12">
      <c r="A8" s="2" t="s">
        <v>194</v>
      </c>
      <c r="B8" s="2" t="s">
        <v>195</v>
      </c>
      <c r="C8" s="2" t="s">
        <v>238</v>
      </c>
      <c r="D8" s="2"/>
      <c r="E8" s="2"/>
      <c r="F8" s="2"/>
      <c r="G8" s="2"/>
      <c r="H8" s="2"/>
      <c r="I8" s="2" t="s">
        <v>186</v>
      </c>
      <c r="J8" s="2" t="s">
        <v>197</v>
      </c>
      <c r="K8" s="3">
        <v>0</v>
      </c>
      <c r="L8" s="2"/>
    </row>
    <row r="9" spans="1:12">
      <c r="A9" s="2" t="s">
        <v>180</v>
      </c>
      <c r="B9" s="2" t="s">
        <v>183</v>
      </c>
      <c r="C9" s="2" t="s">
        <v>239</v>
      </c>
      <c r="D9" s="2" t="s">
        <v>185</v>
      </c>
      <c r="E9" s="2" t="s">
        <v>240</v>
      </c>
      <c r="F9" s="2"/>
      <c r="G9" s="2"/>
      <c r="H9" s="2"/>
      <c r="I9" s="2" t="s">
        <v>186</v>
      </c>
      <c r="J9" s="2" t="s">
        <v>187</v>
      </c>
      <c r="K9" s="3">
        <v>0</v>
      </c>
      <c r="L9" s="2"/>
    </row>
    <row r="10" spans="1:12">
      <c r="A10" s="2" t="s">
        <v>200</v>
      </c>
      <c r="B10" s="2" t="s">
        <v>201</v>
      </c>
      <c r="C10" s="2" t="s">
        <v>241</v>
      </c>
      <c r="D10" s="2"/>
      <c r="E10" s="2"/>
      <c r="F10" s="2"/>
      <c r="G10" s="2"/>
      <c r="H10" s="2"/>
      <c r="I10" s="2" t="s">
        <v>186</v>
      </c>
      <c r="J10" s="2" t="s">
        <v>202</v>
      </c>
      <c r="K10" s="3">
        <v>0</v>
      </c>
      <c r="L10" s="2"/>
    </row>
    <row r="11" spans="1:12">
      <c r="A11" s="2" t="s">
        <v>218</v>
      </c>
      <c r="B11" s="2" t="s">
        <v>219</v>
      </c>
      <c r="C11" s="2" t="s">
        <v>242</v>
      </c>
      <c r="D11" s="2"/>
      <c r="E11" s="2"/>
      <c r="F11" s="2"/>
      <c r="G11" s="2"/>
      <c r="H11" s="2"/>
      <c r="I11" s="2" t="s">
        <v>186</v>
      </c>
      <c r="J11" s="2" t="s">
        <v>202</v>
      </c>
      <c r="K11" s="3">
        <v>0</v>
      </c>
      <c r="L11" s="2"/>
    </row>
    <row r="12" spans="1:12">
      <c r="A12" s="2" t="s">
        <v>243</v>
      </c>
      <c r="B12" s="2" t="s">
        <v>244</v>
      </c>
      <c r="C12" s="2" t="s">
        <v>245</v>
      </c>
      <c r="D12" s="2"/>
      <c r="E12" s="2"/>
      <c r="F12" s="2"/>
      <c r="G12" s="2"/>
      <c r="H12" s="2"/>
      <c r="I12" s="2" t="s">
        <v>186</v>
      </c>
      <c r="J12" s="2" t="s">
        <v>246</v>
      </c>
      <c r="K12" s="3">
        <v>0</v>
      </c>
      <c r="L12" s="2"/>
    </row>
    <row r="13" spans="1:12">
      <c r="A13" s="2" t="s">
        <v>208</v>
      </c>
      <c r="B13" s="2" t="s">
        <v>209</v>
      </c>
      <c r="C13" s="2" t="s">
        <v>247</v>
      </c>
      <c r="D13" s="2"/>
      <c r="E13" s="2"/>
      <c r="F13" s="2"/>
      <c r="G13" s="2"/>
      <c r="H13" s="2"/>
      <c r="I13" s="2" t="s">
        <v>186</v>
      </c>
      <c r="J13" s="2" t="s">
        <v>202</v>
      </c>
      <c r="K13" s="3">
        <v>0</v>
      </c>
      <c r="L13" s="2"/>
    </row>
    <row r="14" spans="1:12">
      <c r="A14" s="2" t="s">
        <v>203</v>
      </c>
      <c r="B14" s="2" t="s">
        <v>204</v>
      </c>
      <c r="C14" s="2" t="s">
        <v>248</v>
      </c>
      <c r="D14" s="2"/>
      <c r="E14" s="2"/>
      <c r="F14" s="2"/>
      <c r="G14" s="2"/>
      <c r="H14" s="2"/>
      <c r="I14" s="2" t="s">
        <v>186</v>
      </c>
      <c r="J14" s="2" t="s">
        <v>202</v>
      </c>
      <c r="K14" s="3">
        <v>0</v>
      </c>
      <c r="L14" s="2"/>
    </row>
    <row r="15" spans="1:12">
      <c r="A15" s="2" t="s">
        <v>210</v>
      </c>
      <c r="B15" s="2" t="s">
        <v>211</v>
      </c>
      <c r="C15" s="2" t="s">
        <v>249</v>
      </c>
      <c r="D15" s="2"/>
      <c r="E15" s="2"/>
      <c r="F15" s="2"/>
      <c r="G15" s="2"/>
      <c r="H15" s="2"/>
      <c r="I15" s="2" t="s">
        <v>186</v>
      </c>
      <c r="J15" s="2" t="s">
        <v>202</v>
      </c>
      <c r="K15" s="3">
        <v>0</v>
      </c>
      <c r="L15" s="2"/>
    </row>
    <row r="16" spans="1:12">
      <c r="A16" s="2" t="s">
        <v>212</v>
      </c>
      <c r="B16" s="2" t="s">
        <v>213</v>
      </c>
      <c r="C16" s="2" t="s">
        <v>250</v>
      </c>
      <c r="D16" s="2"/>
      <c r="E16" s="2"/>
      <c r="F16" s="2"/>
      <c r="G16" s="2"/>
      <c r="H16" s="2"/>
      <c r="I16" s="2" t="s">
        <v>186</v>
      </c>
      <c r="J16" s="2" t="s">
        <v>202</v>
      </c>
      <c r="K16" s="3">
        <v>0</v>
      </c>
      <c r="L16" s="2"/>
    </row>
    <row r="17" spans="1:12">
      <c r="A17" s="2" t="s">
        <v>206</v>
      </c>
      <c r="B17" s="2" t="s">
        <v>207</v>
      </c>
      <c r="C17" s="2" t="s">
        <v>251</v>
      </c>
      <c r="D17" s="2"/>
      <c r="E17" s="2"/>
      <c r="F17" s="2"/>
      <c r="G17" s="2"/>
      <c r="H17" s="2"/>
      <c r="I17" s="2" t="s">
        <v>186</v>
      </c>
      <c r="J17" s="2" t="s">
        <v>202</v>
      </c>
      <c r="K17" s="3">
        <v>0</v>
      </c>
      <c r="L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24.7109375" customWidth="1"/>
    <col min="4" max="4" width="34.7109375" customWidth="1"/>
    <col min="5" max="6" width="12.7109375" customWidth="1"/>
    <col min="7" max="7" width="14.7109375" customWidth="1"/>
    <col min="8" max="8" width="12.7109375" customWidth="1"/>
    <col min="9" max="9" width="64.7109375" customWidth="1"/>
  </cols>
  <sheetData>
    <row r="1" spans="1:9">
      <c r="A1" s="4" t="s">
        <v>1</v>
      </c>
      <c r="B1" s="4" t="s">
        <v>123</v>
      </c>
      <c r="C1" s="4" t="s">
        <v>165</v>
      </c>
      <c r="D1" s="4" t="s">
        <v>170</v>
      </c>
      <c r="E1" s="4" t="s">
        <v>171</v>
      </c>
      <c r="F1" s="4" t="s">
        <v>172</v>
      </c>
      <c r="G1" s="4" t="s">
        <v>252</v>
      </c>
      <c r="H1" s="4" t="s">
        <v>175</v>
      </c>
      <c r="I1" s="4" t="s">
        <v>174</v>
      </c>
    </row>
    <row r="2" spans="1:9">
      <c r="A2" s="2" t="s">
        <v>253</v>
      </c>
      <c r="B2" s="2" t="s">
        <v>28</v>
      </c>
      <c r="C2" s="2"/>
      <c r="D2" s="2"/>
      <c r="E2" s="3">
        <v>0</v>
      </c>
      <c r="F2" s="3">
        <v>0</v>
      </c>
      <c r="G2" s="2" t="s">
        <v>254</v>
      </c>
      <c r="H2" s="2"/>
      <c r="I2" s="2" t="s">
        <v>255</v>
      </c>
    </row>
    <row r="3" spans="1:9">
      <c r="A3" s="2" t="s">
        <v>256</v>
      </c>
      <c r="B3" s="2" t="s">
        <v>28</v>
      </c>
      <c r="C3" s="2"/>
      <c r="D3" s="2"/>
      <c r="E3" s="3">
        <v>0</v>
      </c>
      <c r="F3" s="3">
        <v>0</v>
      </c>
      <c r="G3" s="2" t="s">
        <v>257</v>
      </c>
      <c r="H3" s="2"/>
      <c r="I3" s="2"/>
    </row>
    <row r="4" spans="1:9">
      <c r="A4" s="2" t="s">
        <v>258</v>
      </c>
      <c r="B4" s="2" t="s">
        <v>28</v>
      </c>
      <c r="C4" s="2"/>
      <c r="D4" s="2"/>
      <c r="E4" s="3">
        <v>0</v>
      </c>
      <c r="F4" s="3">
        <v>0</v>
      </c>
      <c r="G4" s="2" t="s">
        <v>257</v>
      </c>
      <c r="H4" s="2"/>
      <c r="I4" s="2"/>
    </row>
    <row r="5" spans="1:9">
      <c r="A5" s="2" t="s">
        <v>243</v>
      </c>
      <c r="B5" s="2" t="s">
        <v>186</v>
      </c>
      <c r="C5" s="2" t="s">
        <v>244</v>
      </c>
      <c r="D5" s="2"/>
      <c r="E5" s="3">
        <v>0</v>
      </c>
      <c r="F5" s="3">
        <v>0</v>
      </c>
      <c r="G5" s="2" t="s">
        <v>257</v>
      </c>
      <c r="H5" s="2"/>
      <c r="I5" s="2" t="s">
        <v>246</v>
      </c>
    </row>
    <row r="6" spans="1:9">
      <c r="A6" s="2" t="s">
        <v>259</v>
      </c>
      <c r="B6" s="2" t="s">
        <v>28</v>
      </c>
      <c r="C6" s="2"/>
      <c r="D6" s="2"/>
      <c r="E6" s="3">
        <v>0</v>
      </c>
      <c r="F6" s="3">
        <v>0</v>
      </c>
      <c r="G6" s="2" t="s">
        <v>257</v>
      </c>
      <c r="H6" s="2"/>
      <c r="I6" s="2"/>
    </row>
    <row r="7" spans="1:9">
      <c r="A7" s="2" t="s">
        <v>260</v>
      </c>
      <c r="B7" s="2" t="s">
        <v>28</v>
      </c>
      <c r="C7" s="2"/>
      <c r="D7" s="2"/>
      <c r="E7" s="3">
        <v>0</v>
      </c>
      <c r="F7" s="3">
        <v>0</v>
      </c>
      <c r="G7" s="2" t="s">
        <v>257</v>
      </c>
      <c r="H7" s="2"/>
      <c r="I7" s="2"/>
    </row>
    <row r="8" spans="1:9">
      <c r="A8" s="2" t="s">
        <v>261</v>
      </c>
      <c r="B8" s="2" t="s">
        <v>28</v>
      </c>
      <c r="C8" s="2"/>
      <c r="D8" s="2"/>
      <c r="E8" s="3">
        <v>0</v>
      </c>
      <c r="F8" s="3">
        <v>0</v>
      </c>
      <c r="G8" s="2" t="s">
        <v>257</v>
      </c>
      <c r="H8" s="2"/>
      <c r="I8" s="2"/>
    </row>
    <row r="9" spans="1:9">
      <c r="A9" s="2" t="s">
        <v>262</v>
      </c>
      <c r="B9" s="2" t="s">
        <v>28</v>
      </c>
      <c r="C9" s="2"/>
      <c r="D9" s="2"/>
      <c r="E9" s="3">
        <v>0</v>
      </c>
      <c r="F9" s="3">
        <v>0</v>
      </c>
      <c r="G9" s="2" t="s">
        <v>190</v>
      </c>
      <c r="H9" s="2"/>
      <c r="I9" s="2"/>
    </row>
    <row r="10" spans="1:9">
      <c r="A10" s="2" t="s">
        <v>263</v>
      </c>
      <c r="B10" s="2" t="s">
        <v>28</v>
      </c>
      <c r="C10" s="2"/>
      <c r="D10" s="2"/>
      <c r="E10" s="3">
        <v>0</v>
      </c>
      <c r="F10" s="3">
        <v>0</v>
      </c>
      <c r="G10" s="2" t="s">
        <v>205</v>
      </c>
      <c r="H10" s="2"/>
      <c r="I10" s="2" t="s">
        <v>264</v>
      </c>
    </row>
    <row r="11" spans="1:9">
      <c r="A11" s="2" t="s">
        <v>265</v>
      </c>
      <c r="B11" s="2" t="s">
        <v>28</v>
      </c>
      <c r="C11" s="2"/>
      <c r="D11" s="2"/>
      <c r="E11" s="3">
        <v>0</v>
      </c>
      <c r="F11" s="3">
        <v>0</v>
      </c>
      <c r="G11" s="2" t="s">
        <v>190</v>
      </c>
      <c r="H11" s="2"/>
      <c r="I11" s="2"/>
    </row>
    <row r="12" spans="1:9">
      <c r="A12" s="2" t="s">
        <v>266</v>
      </c>
      <c r="B12" s="2" t="s">
        <v>28</v>
      </c>
      <c r="C12" s="2"/>
      <c r="D12" s="2"/>
      <c r="E12" s="3">
        <v>0</v>
      </c>
      <c r="F12" s="3">
        <v>0</v>
      </c>
      <c r="G12" s="2" t="s">
        <v>196</v>
      </c>
      <c r="H12" s="2"/>
      <c r="I12" s="2"/>
    </row>
    <row r="13" spans="1:9">
      <c r="A13" s="2" t="s">
        <v>267</v>
      </c>
      <c r="B13" s="2" t="s">
        <v>28</v>
      </c>
      <c r="C13" s="2"/>
      <c r="D13" s="2"/>
      <c r="E13" s="3">
        <v>0</v>
      </c>
      <c r="F13" s="3">
        <v>0</v>
      </c>
      <c r="G13" s="2" t="s">
        <v>184</v>
      </c>
      <c r="H13" s="2"/>
      <c r="I13" s="2"/>
    </row>
    <row r="14" spans="1:9">
      <c r="A14" s="2" t="s">
        <v>268</v>
      </c>
      <c r="B14" s="2" t="s">
        <v>28</v>
      </c>
      <c r="C14" s="2"/>
      <c r="D14" s="2"/>
      <c r="E14" s="3">
        <v>0</v>
      </c>
      <c r="F14" s="3">
        <v>0</v>
      </c>
      <c r="G14" s="2" t="s">
        <v>254</v>
      </c>
      <c r="H14" s="2"/>
      <c r="I14" s="2" t="s">
        <v>255</v>
      </c>
    </row>
    <row r="15" spans="1:9">
      <c r="A15" s="2" t="s">
        <v>269</v>
      </c>
      <c r="B15" s="2" t="s">
        <v>28</v>
      </c>
      <c r="C15" s="2"/>
      <c r="D15" s="2"/>
      <c r="E15" s="3">
        <v>0</v>
      </c>
      <c r="F15" s="3">
        <v>0</v>
      </c>
      <c r="G15" s="2" t="s">
        <v>190</v>
      </c>
      <c r="H15" s="2"/>
      <c r="I15" s="2"/>
    </row>
    <row r="16" spans="1:9">
      <c r="A16" s="2" t="s">
        <v>270</v>
      </c>
      <c r="B16" s="2" t="s">
        <v>28</v>
      </c>
      <c r="C16" s="2"/>
      <c r="D16" s="2"/>
      <c r="E16" s="3">
        <v>0</v>
      </c>
      <c r="F16" s="3">
        <v>0</v>
      </c>
      <c r="G16" s="2" t="s">
        <v>190</v>
      </c>
      <c r="H16" s="2"/>
      <c r="I16" s="2"/>
    </row>
    <row r="17" spans="1:9">
      <c r="A17" s="2" t="s">
        <v>271</v>
      </c>
      <c r="B17" s="2" t="s">
        <v>28</v>
      </c>
      <c r="C17" s="2"/>
      <c r="D17" s="2"/>
      <c r="E17" s="3">
        <v>0</v>
      </c>
      <c r="F17" s="3">
        <v>0</v>
      </c>
      <c r="G17" s="2" t="s">
        <v>196</v>
      </c>
      <c r="H17" s="2"/>
      <c r="I17" s="2"/>
    </row>
    <row r="18" spans="1:9">
      <c r="A18" s="2" t="s">
        <v>272</v>
      </c>
      <c r="B18" s="2" t="s">
        <v>28</v>
      </c>
      <c r="C18" s="2"/>
      <c r="D18" s="2"/>
      <c r="E18" s="3">
        <v>0</v>
      </c>
      <c r="F18" s="3">
        <v>0</v>
      </c>
      <c r="G18" s="2" t="s">
        <v>254</v>
      </c>
      <c r="H18" s="2"/>
      <c r="I18" s="2" t="s">
        <v>255</v>
      </c>
    </row>
    <row r="19" spans="1:9">
      <c r="A19" s="2" t="s">
        <v>273</v>
      </c>
      <c r="B19" s="2" t="s">
        <v>28</v>
      </c>
      <c r="C19" s="2"/>
      <c r="D19" s="2"/>
      <c r="E19" s="3">
        <v>0</v>
      </c>
      <c r="F19" s="3">
        <v>0</v>
      </c>
      <c r="G19" s="2" t="s">
        <v>254</v>
      </c>
      <c r="H19" s="2"/>
      <c r="I19" s="2" t="s">
        <v>255</v>
      </c>
    </row>
    <row r="20" spans="1:9">
      <c r="A20" s="2" t="s">
        <v>274</v>
      </c>
      <c r="B20" s="2" t="s">
        <v>28</v>
      </c>
      <c r="C20" s="2"/>
      <c r="D20" s="2"/>
      <c r="E20" s="3">
        <v>0</v>
      </c>
      <c r="F20" s="3">
        <v>0</v>
      </c>
      <c r="G20" s="2" t="s">
        <v>254</v>
      </c>
      <c r="H20" s="2"/>
      <c r="I20" s="2" t="s">
        <v>255</v>
      </c>
    </row>
    <row r="21" spans="1:9">
      <c r="A21" s="2" t="s">
        <v>275</v>
      </c>
      <c r="B21" s="2" t="s">
        <v>28</v>
      </c>
      <c r="C21" s="2"/>
      <c r="D21" s="2"/>
      <c r="E21" s="3">
        <v>0</v>
      </c>
      <c r="F21" s="3">
        <v>0</v>
      </c>
      <c r="G21" s="2" t="s">
        <v>276</v>
      </c>
      <c r="H21" s="2"/>
      <c r="I21" s="2" t="s">
        <v>277</v>
      </c>
    </row>
    <row r="22" spans="1:9">
      <c r="A22" s="2" t="s">
        <v>278</v>
      </c>
      <c r="B22" s="2" t="s">
        <v>28</v>
      </c>
      <c r="C22" s="2"/>
      <c r="D22" s="2"/>
      <c r="E22" s="3">
        <v>0</v>
      </c>
      <c r="F22" s="3">
        <v>0</v>
      </c>
      <c r="G22" s="2" t="s">
        <v>254</v>
      </c>
      <c r="H22" s="2"/>
      <c r="I22" s="2" t="s">
        <v>255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62.7109375" customWidth="1"/>
    <col min="3" max="3" width="50.7109375" customWidth="1"/>
    <col min="4" max="4" width="14.7109375" customWidth="1"/>
    <col min="5" max="5" width="34.7109375" customWidth="1"/>
    <col min="6" max="6" width="58.7109375" customWidth="1"/>
  </cols>
  <sheetData>
    <row r="1" spans="1:6">
      <c r="A1" s="1" t="s">
        <v>1</v>
      </c>
      <c r="B1" s="1" t="s">
        <v>5</v>
      </c>
      <c r="C1" s="1" t="s">
        <v>12</v>
      </c>
      <c r="D1" s="1" t="s">
        <v>279</v>
      </c>
      <c r="E1" s="1" t="s">
        <v>280</v>
      </c>
      <c r="F1" s="1" t="s">
        <v>281</v>
      </c>
    </row>
    <row r="2" spans="1:6">
      <c r="A2" s="2" t="s">
        <v>15</v>
      </c>
      <c r="B2" s="2" t="s">
        <v>19</v>
      </c>
      <c r="C2" s="2" t="s">
        <v>26</v>
      </c>
      <c r="D2" s="2" t="s">
        <v>27</v>
      </c>
      <c r="E2" s="2" t="s">
        <v>21</v>
      </c>
      <c r="F2" s="2" t="s">
        <v>282</v>
      </c>
    </row>
    <row r="3" spans="1:6">
      <c r="A3" s="2" t="s">
        <v>29</v>
      </c>
      <c r="B3" s="2" t="s">
        <v>32</v>
      </c>
      <c r="C3" s="2" t="s">
        <v>39</v>
      </c>
      <c r="D3" s="2" t="s">
        <v>27</v>
      </c>
      <c r="E3" s="2" t="s">
        <v>34</v>
      </c>
      <c r="F3" s="2" t="s">
        <v>282</v>
      </c>
    </row>
    <row r="4" spans="1:6">
      <c r="A4" s="2" t="s">
        <v>40</v>
      </c>
      <c r="B4" s="2" t="s">
        <v>42</v>
      </c>
      <c r="C4" s="2" t="s">
        <v>49</v>
      </c>
      <c r="D4" s="2" t="s">
        <v>27</v>
      </c>
      <c r="E4" s="2" t="s">
        <v>44</v>
      </c>
      <c r="F4" s="2" t="s">
        <v>282</v>
      </c>
    </row>
    <row r="5" spans="1:6">
      <c r="A5" s="2" t="s">
        <v>50</v>
      </c>
      <c r="B5" s="2" t="s">
        <v>52</v>
      </c>
      <c r="C5" s="2" t="s">
        <v>59</v>
      </c>
      <c r="D5" s="2" t="s">
        <v>60</v>
      </c>
      <c r="E5" s="2" t="s">
        <v>54</v>
      </c>
      <c r="F5" s="2" t="s">
        <v>282</v>
      </c>
    </row>
    <row r="6" spans="1:6">
      <c r="A6" s="2" t="s">
        <v>61</v>
      </c>
      <c r="B6" s="2" t="s">
        <v>63</v>
      </c>
      <c r="C6" s="2" t="s">
        <v>70</v>
      </c>
      <c r="D6" s="2" t="s">
        <v>27</v>
      </c>
      <c r="E6" s="2" t="s">
        <v>65</v>
      </c>
      <c r="F6" s="2" t="s">
        <v>282</v>
      </c>
    </row>
    <row r="7" spans="1:6">
      <c r="A7" s="2" t="s">
        <v>71</v>
      </c>
      <c r="B7" s="2" t="s">
        <v>73</v>
      </c>
      <c r="C7" s="2" t="s">
        <v>80</v>
      </c>
      <c r="D7" s="2" t="s">
        <v>27</v>
      </c>
      <c r="E7" s="2" t="s">
        <v>75</v>
      </c>
      <c r="F7" s="2" t="s">
        <v>282</v>
      </c>
    </row>
    <row r="8" spans="1:6">
      <c r="A8" s="2" t="s">
        <v>81</v>
      </c>
      <c r="B8" s="2" t="s">
        <v>83</v>
      </c>
      <c r="C8" s="2" t="s">
        <v>90</v>
      </c>
      <c r="D8" s="2" t="s">
        <v>27</v>
      </c>
      <c r="E8" s="2" t="s">
        <v>85</v>
      </c>
      <c r="F8" s="2" t="s">
        <v>282</v>
      </c>
    </row>
    <row r="9" spans="1:6">
      <c r="A9" s="2" t="s">
        <v>91</v>
      </c>
      <c r="B9" s="2" t="s">
        <v>93</v>
      </c>
      <c r="C9" s="2" t="s">
        <v>100</v>
      </c>
      <c r="D9" s="2" t="s">
        <v>27</v>
      </c>
      <c r="E9" s="2" t="s">
        <v>95</v>
      </c>
      <c r="F9" s="2" t="s">
        <v>282</v>
      </c>
    </row>
    <row r="10" spans="1:6">
      <c r="A10" s="2" t="s">
        <v>101</v>
      </c>
      <c r="B10" s="2" t="s">
        <v>103</v>
      </c>
      <c r="C10" s="2" t="s">
        <v>110</v>
      </c>
      <c r="D10" s="2" t="s">
        <v>27</v>
      </c>
      <c r="E10" s="2" t="s">
        <v>105</v>
      </c>
      <c r="F10" s="2" t="s">
        <v>282</v>
      </c>
    </row>
    <row r="11" spans="1:6">
      <c r="A11" s="2" t="s">
        <v>111</v>
      </c>
      <c r="B11" s="2" t="s">
        <v>114</v>
      </c>
      <c r="C11" s="2" t="s">
        <v>121</v>
      </c>
      <c r="D11" s="2" t="s">
        <v>60</v>
      </c>
      <c r="E11" s="2" t="s">
        <v>116</v>
      </c>
      <c r="F11" s="2" t="s">
        <v>282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22.7109375" customWidth="1"/>
    <col min="2" max="2" width="14.7109375" customWidth="1"/>
    <col min="3" max="3" width="4.7109375" customWidth="1"/>
    <col min="4" max="4" width="24.7109375" customWidth="1"/>
    <col min="5" max="5" width="16.7109375" customWidth="1"/>
    <col min="6" max="6" width="48.7109375" customWidth="1"/>
  </cols>
  <sheetData>
    <row r="1" spans="1:6" ht="28" customHeight="1">
      <c r="A1" s="5" t="s">
        <v>283</v>
      </c>
      <c r="B1" s="5"/>
      <c r="C1" s="5"/>
      <c r="D1" s="5"/>
      <c r="E1" s="5"/>
      <c r="F1" s="5"/>
    </row>
    <row r="3" spans="1:6">
      <c r="A3" s="1" t="s">
        <v>284</v>
      </c>
      <c r="B3" s="1" t="s">
        <v>285</v>
      </c>
      <c r="C3" s="2"/>
      <c r="D3" s="1" t="s">
        <v>286</v>
      </c>
      <c r="E3" s="1" t="s">
        <v>285</v>
      </c>
      <c r="F3" s="1" t="s">
        <v>287</v>
      </c>
    </row>
    <row r="4" spans="1:6">
      <c r="A4" s="2" t="s">
        <v>28</v>
      </c>
      <c r="B4" s="2">
        <f>COUNTIF(Pipeline!J:J,"Contact Ready")</f>
        <v>0</v>
      </c>
      <c r="D4" s="2" t="s">
        <v>291</v>
      </c>
      <c r="E4" s="3">
        <f>SUM(Pipeline!R:R)</f>
        <v>0</v>
      </c>
      <c r="F4" s="2" t="s">
        <v>292</v>
      </c>
    </row>
    <row r="5" spans="1:6">
      <c r="A5" s="2" t="s">
        <v>186</v>
      </c>
      <c r="B5" s="2">
        <f>COUNTIF(Pipeline!J:J,"Contacted")</f>
        <v>0</v>
      </c>
      <c r="D5" s="2" t="s">
        <v>293</v>
      </c>
      <c r="E5" s="3">
        <f>SUM(Pipeline!K:K)</f>
        <v>0</v>
      </c>
      <c r="F5" s="2" t="s">
        <v>294</v>
      </c>
    </row>
    <row r="6" spans="1:6">
      <c r="A6" s="2" t="s">
        <v>288</v>
      </c>
      <c r="B6" s="2">
        <f>COUNTIF(Pipeline!J:J,"Replied")</f>
        <v>0</v>
      </c>
      <c r="D6" s="2" t="s">
        <v>295</v>
      </c>
      <c r="E6" s="3">
        <f>SUM(Pipeline!L:L)</f>
        <v>0</v>
      </c>
      <c r="F6" s="2" t="s">
        <v>296</v>
      </c>
    </row>
    <row r="7" spans="1:6">
      <c r="A7" s="2" t="s">
        <v>289</v>
      </c>
      <c r="B7" s="2">
        <f>COUNTIF(Pipeline!J:J,"Negotiating")</f>
        <v>0</v>
      </c>
      <c r="D7" s="2" t="s">
        <v>297</v>
      </c>
      <c r="E7" s="6">
        <f>IFERROR(COUNTIF(Pipeline!J:J,"Replied")/COUNTIF(Pipeline!D:D,"&lt;&gt;"),0)</f>
        <v>0</v>
      </c>
      <c r="F7" s="2" t="s">
        <v>298</v>
      </c>
    </row>
    <row r="8" spans="1:6">
      <c r="A8" s="2" t="s">
        <v>290</v>
      </c>
      <c r="B8" s="2">
        <f>COUNTIF(Pipeline!J:J,"Won/Paid")</f>
        <v>0</v>
      </c>
      <c r="D8" s="2" t="s">
        <v>299</v>
      </c>
      <c r="E8" s="6">
        <f>IFERROR(COUNTIF(Pipeline!J:J,"Won/Paid")/COUNTIF(Pipeline!D:D,"&lt;&gt;"),0)</f>
        <v>0</v>
      </c>
      <c r="F8" s="2" t="s">
        <v>300</v>
      </c>
    </row>
    <row r="9" spans="1:6">
      <c r="A9" s="2" t="s">
        <v>173</v>
      </c>
      <c r="B9" s="2">
        <f>COUNTIF(Pipeline!J:J,"Fulfilled")</f>
        <v>0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100.7109375" customWidth="1"/>
  </cols>
  <sheetData>
    <row r="1" spans="1:2">
      <c r="A1" s="1" t="s">
        <v>301</v>
      </c>
      <c r="B1" s="1" t="s">
        <v>302</v>
      </c>
    </row>
    <row r="2" spans="1:2">
      <c r="A2" s="2" t="s">
        <v>303</v>
      </c>
      <c r="B2" s="2" t="s">
        <v>304</v>
      </c>
    </row>
    <row r="3" spans="1:2">
      <c r="A3" s="2" t="s">
        <v>305</v>
      </c>
      <c r="B3" s="2" t="s">
        <v>306</v>
      </c>
    </row>
    <row r="4" spans="1:2">
      <c r="A4" s="2" t="s">
        <v>307</v>
      </c>
      <c r="B4" s="2" t="s">
        <v>308</v>
      </c>
    </row>
    <row r="5" spans="1:2">
      <c r="A5" s="2" t="s">
        <v>309</v>
      </c>
      <c r="B5" s="2" t="s">
        <v>310</v>
      </c>
    </row>
    <row r="6" spans="1:2">
      <c r="A6" s="2" t="s">
        <v>311</v>
      </c>
      <c r="B6" s="2" t="s">
        <v>312</v>
      </c>
    </row>
    <row r="7" spans="1:2">
      <c r="A7" s="2" t="s">
        <v>313</v>
      </c>
      <c r="B7" s="2" t="s">
        <v>314</v>
      </c>
    </row>
    <row r="8" spans="1:2">
      <c r="A8" s="2" t="s">
        <v>315</v>
      </c>
      <c r="B8" s="2" t="s">
        <v>316</v>
      </c>
    </row>
    <row r="9" spans="1:2">
      <c r="A9" s="2" t="s">
        <v>317</v>
      </c>
      <c r="B9" s="2" t="s">
        <v>318</v>
      </c>
    </row>
    <row r="10" spans="1:2">
      <c r="A10" s="2" t="s">
        <v>181</v>
      </c>
      <c r="B10" s="2" t="s">
        <v>319</v>
      </c>
    </row>
    <row r="11" spans="1:2">
      <c r="A11" s="2" t="s">
        <v>320</v>
      </c>
      <c r="B11" s="2" t="s">
        <v>321</v>
      </c>
    </row>
    <row r="12" spans="1:2">
      <c r="A12" s="2" t="s">
        <v>322</v>
      </c>
      <c r="B12" s="2" t="s">
        <v>323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20.7109375" customWidth="1"/>
    <col min="5" max="5" width="90.7109375" customWidth="1"/>
  </cols>
  <sheetData>
    <row r="1" spans="1:5">
      <c r="A1" s="1" t="s">
        <v>324</v>
      </c>
      <c r="B1" s="1" t="s">
        <v>325</v>
      </c>
      <c r="C1" s="1" t="s">
        <v>326</v>
      </c>
      <c r="D1" s="1" t="s">
        <v>327</v>
      </c>
      <c r="E1" s="1" t="s">
        <v>328</v>
      </c>
    </row>
    <row r="2" spans="1:5">
      <c r="A2" s="2" t="s">
        <v>27</v>
      </c>
      <c r="B2" s="2">
        <v>10</v>
      </c>
      <c r="C2" s="2">
        <v>16</v>
      </c>
      <c r="D2" s="2">
        <v>21</v>
      </c>
      <c r="E2" s="2" t="s">
        <v>329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New Lead Queue</vt:lpstr>
      <vt:lpstr>Scripts</vt:lpstr>
      <vt:lpstr>Pipeline</vt:lpstr>
      <vt:lpstr>Actual Outreach History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2026-09-15T15:41:25Z</dcterms:created>
  <dcterms:modified xsi:type="dcterms:W3CDTF">2026-09-15T15:41:25Z</dcterms:modified>
</cp:coreProperties>
</file>