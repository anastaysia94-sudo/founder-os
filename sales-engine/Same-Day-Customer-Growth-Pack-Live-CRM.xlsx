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<sst xmlns="http://schemas.openxmlformats.org/spreadsheetml/2006/main" count="382" uniqueCount="220">
  <si>
    <t>Rank</t>
  </si>
  <si>
    <t>Business</t>
  </si>
  <si>
    <t>Category</t>
  </si>
  <si>
    <t>City</t>
  </si>
  <si>
    <t>Tier</t>
  </si>
  <si>
    <t>Verified Opportunity</t>
  </si>
  <si>
    <t>Phone</t>
  </si>
  <si>
    <t>Email</t>
  </si>
  <si>
    <t>Reachability</t>
  </si>
  <si>
    <t>Angle</t>
  </si>
  <si>
    <t>Subject</t>
  </si>
  <si>
    <t>Individualized Initial Pitch</t>
  </si>
  <si>
    <t>Source URL</t>
  </si>
  <si>
    <t>Verified</t>
  </si>
  <si>
    <t>Status</t>
  </si>
  <si>
    <t>Leader Restoration</t>
  </si>
  <si>
    <t>Mold / Water / Fire Restoration</t>
  </si>
  <si>
    <t>San Jose, CA</t>
  </si>
  <si>
    <t>A</t>
  </si>
  <si>
    <t>September 2026 FREE mold inspection is live through Sep 30; 24/7 emergency response; published 60-minute arrival target; official site publishes service@leaderestoration.com.</t>
  </si>
  <si>
    <t>(408) 868-2433</t>
  </si>
  <si>
    <t>service@leaderestoration.com</t>
  </si>
  <si>
    <t>24/7</t>
  </si>
  <si>
    <t>Use the expiring September inspection offer as education about hidden moisture/mold rather than generic discount advertising.</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</si>
  <si>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</si>
  <si>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more Leader-specific examples. Want me to send them?</t>
  </si>
  <si>
    <t>https://call.leaderestoration.com/mold-408</t>
  </si>
  <si>
    <t>2026-09-06</t>
  </si>
  <si>
    <t>Contact Ready</t>
  </si>
  <si>
    <t>FloodDry Water Damage Restoration</t>
  </si>
  <si>
    <t>Water / Mold Restoration</t>
  </si>
  <si>
    <t>Official site is current today: 24/7 emergency response, free inspections, ~45-minute on-site target, direct email, and recent customer reviews posted within the last week.</t>
  </si>
  <si>
    <t>(408) 404-4000</t>
  </si>
  <si>
    <t>service@flooddrywdr.com</t>
  </si>
  <si>
    <t>Translate moisture mapping, drying logs and insurance documentation into plain-English emergency education.</t>
  </si>
  <si>
    <t>Customer-education idea for FloodDry’s free inspection</t>
  </si>
  <si>
    <t>Hi — I reviewed FloodDry’s current San Jose service process today and found a strong customer-education angle:
“The floor can look dry while moisture is still inside the structure.”
Your published process already supports that message with moisture readings, structural drying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</si>
  <si>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t>
  </si>
  <si>
    <t>IRBIS Air Plumbing Electrical</t>
  </si>
  <si>
    <t>HVAC / Plumbing / Electrical</t>
  </si>
  <si>
    <t>Official site crawled today advertises same-day service across HVAC, plumbing and electrical, seven days a week; current business listing shows 24/7 operation and 942 reviews.</t>
  </si>
  <si>
    <t>(669) 266-5464</t>
  </si>
  <si>
    <t>Same-day / 7 days</t>
  </si>
  <si>
    <t>Build one-home-one-team messaging around multiple urgent trades and same-day availability.</t>
  </si>
  <si>
    <t>One campaign across HVAC + plumbing + electrical</t>
  </si>
  <si>
    <t>Hi — I was reviewing IRBIS today and your biggest marketing advantage isn’t one individual service — it’s that one team can handle HVAC, plumbing and electrical with same-day availability.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</si>
  <si>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</si>
  <si>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California Water and Fire</t>
  </si>
  <si>
    <t>Water / Fire / Mold / Reconstruction</t>
  </si>
  <si>
    <t>Official San Jose page advertises 24/7 live dispatch, local 45-minute response target, direct insurance billing, $0 upfront on covered claims, and full restoration/reconstruction.</t>
  </si>
  <si>
    <t>(408) 402-4941</t>
  </si>
  <si>
    <t>Turn emergency response + insurance handling + rebuild capability into a clear first-call workflow.</t>
  </si>
  <si>
    <t>San Jose restoration campaign idea</t>
  </si>
  <si>
    <t>Hi — I checked your San Jose restoration page today and the strongest customer story looks bigger than “24/7 restoration”:
“From the emergency call to the rebuild, one team keeps the loss moving.”
I’d turn your live-dispatch, insurance-documentation and reconstruction process into emergency posts, customer FAQs, first-response follow-ups and commercial restoration messaging.
Complete Same-Day Customer Growth Pack: $150 flat.
Want two California Water and Fire-specific samples first?</t>
  </si>
  <si>
    <t>https://cawaterandfire.com/san-jose/</t>
  </si>
  <si>
    <t>Infinium Solar, Roofing and Electric</t>
  </si>
  <si>
    <t>Solar / Roofing / Electrical</t>
  </si>
  <si>
    <t>Campbell / San Jose, CA</t>
  </si>
  <si>
    <t>Official site is current today and combines solar, roofing and electrical in-house; Campbell/San Jose phone is published; services include battery, roof replacement, panel upgrades and EV charging.</t>
  </si>
  <si>
    <t>(408) 583-8101</t>
  </si>
  <si>
    <t>Sunday availability shown in current business listing</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</si>
  <si>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</si>
  <si>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</si>
  <si>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</si>
  <si>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t>
  </si>
  <si>
    <t>Lifetime Roofing &amp; Renovation, Inc.</t>
  </si>
  <si>
    <t>Roofing / Exterior Renovation</t>
  </si>
  <si>
    <t>Sunnyvale / San Jose, CA</t>
  </si>
  <si>
    <t>Official site advertises free/same-day inspections, 24/7 emergency service, San Jose coverage, and a current September storm-readiness inspection campaign ahead of rainy season.</t>
  </si>
  <si>
    <t>(408) 685-2177</t>
  </si>
  <si>
    <t>Emergency 24/7; regular Mon–Sat</t>
  </si>
  <si>
    <t>Turn free storm-readiness inspections into a pre-rain roof + drainage education sequence.</t>
  </si>
  <si>
    <t>Idea for Lifetime’s September inspection campaign</t>
  </si>
  <si>
    <t>Hi — I checked Lifetime’s current September roof-inspection messaging and there’s a strong campaign hiding inside the offer:
“The first rain shouldn’t be the first time you learn where the roof is vulnerable.”
I’d turn the free inspection into roof-and-drainage education, Google/social posts, inspection reminders, estimate follow-ups and repair-vs-replacement FAQs.
Same-Day Customer Growth Pack: $150 flat.
Want two Lifetime-specific examples first?</t>
  </si>
  <si>
    <t>https://lifetimeroofingrenovation.com/</t>
  </si>
  <si>
    <t>ROOF EXPRESS</t>
  </si>
  <si>
    <t>Roofing</t>
  </si>
  <si>
    <t>San Jose / Bay Area, CA</t>
  </si>
  <si>
    <t>Official site is current today: free estimates, same-day inspections Mon–Sat, photo-supported line-item scopes within 24 hours, financing up to $25,000, 24/7 emergency service, and sales@roof-ex.com.</t>
  </si>
  <si>
    <t>(650) 666-5554</t>
  </si>
  <si>
    <t>sales@roof-ex.com</t>
  </si>
  <si>
    <t>Emergency 24/7; Sunday by appointment</t>
  </si>
  <si>
    <t>Sell the transparent inspection → photo scope → financing decision process rather than generic roofing.</t>
  </si>
  <si>
    <t>Idea for ROOF EXPRESS’s inspection-to-estimate flow</t>
  </si>
  <si>
    <t>Hi — I reviewed ROOF EXPRESS today and your inspection process gives you a better customer story than a generic roofing ad:
“See what the roof needs, what it costs and what the financing options are before deciding.”
I’d build that into inspection posts, financing FAQs, estimate follow-ups, repair-vs-replacement education and genuine review-request copy.
Complete Same-Day Customer Growth Pack: $150 flat.
Want two ROOF EXPRESS-specific examples first?</t>
  </si>
  <si>
    <t>https://roof-ex.com/san-jose</t>
  </si>
  <si>
    <t>Any Hour Water and Fire</t>
  </si>
  <si>
    <t>Water / Fire Restoration</t>
  </si>
  <si>
    <t>San Jose area</t>
  </si>
  <si>
    <t>Current business listing shows Sunday hours 8 AM–5 PM, 5.0 rating with 296 reviews, and emergency mitigation/cleanup/rebuild positioning.</t>
  </si>
  <si>
    <t>(669) 304-3545</t>
  </si>
  <si>
    <t>Sunday 8:00–5:00</t>
  </si>
  <si>
    <t>Lead with mitigation-first education before rebuild and insurance complexity.</t>
  </si>
  <si>
    <t>Mitigation-first campaign idea</t>
  </si>
  <si>
    <t>Hi — I was refreshing San Jose restoration companies today and Any Hour stood out because you’re actually reachable on Sunday.
Campaign angle:
“Before worrying about rebuilding, stop the damage that’s still happening.”
I’d turn that into a first-response checklist, mitigation FAQs, emergency Google/social posts, customer follow-ups and genuine review-request copy.
Same-Day Customer Growth Pack: $150 flat.
Want two Any Hour-specific examples first?</t>
  </si>
  <si>
    <t>https://www.google.com/search?q=Any+Hour+Water+and+Fire+San+Jose</t>
  </si>
  <si>
    <t>South Bay Roofing CO</t>
  </si>
  <si>
    <t>Official site updated within days: free inspection, roof/attic/flashing/gutter assessment, same-day itemized written quote, financing options and emergency roofing calls anytime.</t>
  </si>
  <si>
    <t>(650) 447-1464</t>
  </si>
  <si>
    <t>Emergency calls anytime; regular Mon–Sat</t>
  </si>
  <si>
    <t>Use the no-pressure inspection + same-day itemized quote as a trust/decision campaign.</t>
  </si>
  <si>
    <t>Turn your same-day roofing quote into a follow-up system</t>
  </si>
  <si>
    <t>Hi — I reviewed South Bay Roofing’s current San Jose process and think the best campaign is already inside the way you sell:
“Free inspection. Same-day itemized quote. No-pressure decision.”
I’d turn that into inspection education, estimate follow-ups, repair-vs-replacement FAQs, financing objection responses and seasonal Google/social posts.
Complete Same-Day Customer Growth Pack: $150 flat.
Want two South Bay Roofing-specific examples first?</t>
  </si>
  <si>
    <t>https://www.southbayroofingco.com/</t>
  </si>
  <si>
    <t>Therma Tech</t>
  </si>
  <si>
    <t>HVAC</t>
  </si>
  <si>
    <t>Official pages remain current: financing subject to approval, free estimates, direct email with stated one-business-hour reply, plus a current same-day-service landing page crawled today.</t>
  </si>
  <si>
    <t>(408) 629-5400</t>
  </si>
  <si>
    <t>info@thermatechhvac.com</t>
  </si>
  <si>
    <t>Regular office closed Sunday; same-day landing page active</t>
  </si>
  <si>
    <t>Combine financing and same-day repair/installation messaging into plain-English decision support.</t>
  </si>
  <si>
    <t>Idea for Therma Tech’s financing + same-day traffic</t>
  </si>
  <si>
    <t>Hi — I checked Therma Tech’s current financing and same-day service pages today and there’s a useful customer question connecting both:
“Can I solve the HVAC problem now without taking the entire cost at once?”
I’d turn that into financing FAQs, same-day service posts, estimate follow-ups, objection responses and customer reactivation copy.
Complete Same-Day Customer Growth Pack: $150 flat.
Want two Therma Tech-specific samples first?</t>
  </si>
  <si>
    <t>https://thermatechhvac.com/financing</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</si>
  <si>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</si>
  <si>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</si>
  <si>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</si>
  <si>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</si>
  <si>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</si>
  <si>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</si>
  <si>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</si>
  <si>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</si>
  <si>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</si>
  <si>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</si>
  <si>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</si>
  <si>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</si>
  <si>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</si>
  <si>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</si>
  <si>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</si>
  <si>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</si>
  <si>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</si>
  <si>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</si>
  <si>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</si>
  <si>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</si>
  <si>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</si>
  <si>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</si>
  <si>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</si>
  <si>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</si>
  <si>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</si>
  <si>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</si>
  <si>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</si>
  <si>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</si>
  <si>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</si>
  <si>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</si>
  <si>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</si>
  <si>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</si>
  <si>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</si>
  <si>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</si>
  <si>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</si>
  <si>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</si>
  <si>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</si>
  <si>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</si>
  <si>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</si>
  <si>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</si>
  <si>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</si>
  <si>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</si>
  <si>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</si>
  <si>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</si>
  <si>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</si>
  <si>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</si>
  <si>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</si>
  <si>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</si>
  <si>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</si>
  <si>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</si>
  <si>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</si>
  <si>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</si>
  <si>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</si>
  <si>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</si>
  <si>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</si>
  <si>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</si>
  <si>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Archived</t>
  </si>
  <si>
    <t>CostLess Heating &amp; Cooling</t>
  </si>
  <si>
    <t>Los Gatos Roofing</t>
  </si>
  <si>
    <t>Precision Heating &amp; Cooling</t>
  </si>
  <si>
    <t>Roofs By Reveille, Inc</t>
  </si>
  <si>
    <t>A1 Restoration</t>
  </si>
  <si>
    <t>911 Restoration of San Jose</t>
  </si>
  <si>
    <t>Verified Date</t>
  </si>
  <si>
    <t>Reverify Rule</t>
  </si>
  <si>
    <t>Reverify time-sensitive offers, hours, financing, ETA, and contact details before outreach.</t>
  </si>
  <si>
    <t>SAME-DAY CUSTOMER GROWTH PACK — LIVE DASHBOARD</t>
  </si>
  <si>
    <t>Metric</t>
  </si>
  <si>
    <t>Value</t>
  </si>
  <si>
    <t>Revenue Metric</t>
  </si>
  <si>
    <t>Contacted</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</si>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</sst>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call.leaderestoration.com/mold-408" TargetMode="External"/><Relationship Id="rId2" Type="http://schemas.openxmlformats.org/officeDocument/2006/relationships/hyperlink" Target="https://flooddrywdr.com/" TargetMode="External"/><Relationship Id="rId3" Type="http://schemas.openxmlformats.org/officeDocument/2006/relationships/hyperlink" Target="https://www.irbishvac.com/" TargetMode="External"/><Relationship Id="rId4" Type="http://schemas.openxmlformats.org/officeDocument/2006/relationships/hyperlink" Target="https://cawaterandfire.com/san-jose/" TargetMode="External"/><Relationship Id="rId5" Type="http://schemas.openxmlformats.org/officeDocument/2006/relationships/hyperlink" Target="https://infinium.inc/" TargetMode="External"/><Relationship Id="rId6" Type="http://schemas.openxmlformats.org/officeDocument/2006/relationships/hyperlink" Target="https://lifetimeroofingrenovation.com/" TargetMode="External"/><Relationship Id="rId7" Type="http://schemas.openxmlformats.org/officeDocument/2006/relationships/hyperlink" Target="https://roof-ex.com/san-jose" TargetMode="External"/><Relationship Id="rId8" Type="http://schemas.openxmlformats.org/officeDocument/2006/relationships/hyperlink" Target="https://www.google.com/search?q=Any+Hour+Water+and+Fire+San+Jose" TargetMode="External"/><Relationship Id="rId9" Type="http://schemas.openxmlformats.org/officeDocument/2006/relationships/hyperlink" Target="https://www.southbayroofingco.com/" TargetMode="External"/><Relationship Id="rId10" Type="http://schemas.openxmlformats.org/officeDocument/2006/relationships/hyperlink" Target="https://thermatechhvac.com/financin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all.leaderestoration.com/mold-408" TargetMode="External"/><Relationship Id="rId2" Type="http://schemas.openxmlformats.org/officeDocument/2006/relationships/hyperlink" Target="https://flooddrywdr.com/" TargetMode="External"/><Relationship Id="rId3" Type="http://schemas.openxmlformats.org/officeDocument/2006/relationships/hyperlink" Target="https://www.irbishvac.com/" TargetMode="External"/><Relationship Id="rId4" Type="http://schemas.openxmlformats.org/officeDocument/2006/relationships/hyperlink" Target="https://cawaterandfire.com/san-jose/" TargetMode="External"/><Relationship Id="rId5" Type="http://schemas.openxmlformats.org/officeDocument/2006/relationships/hyperlink" Target="https://infinium.inc/" TargetMode="External"/><Relationship Id="rId6" Type="http://schemas.openxmlformats.org/officeDocument/2006/relationships/hyperlink" Target="https://lifetimeroofingrenovation.com/" TargetMode="External"/><Relationship Id="rId7" Type="http://schemas.openxmlformats.org/officeDocument/2006/relationships/hyperlink" Target="https://roof-ex.com/san-jose" TargetMode="External"/><Relationship Id="rId8" Type="http://schemas.openxmlformats.org/officeDocument/2006/relationships/hyperlink" Target="https://www.google.com/search?q=Any+Hour+Water+and+Fire+San+Jose" TargetMode="External"/><Relationship Id="rId9" Type="http://schemas.openxmlformats.org/officeDocument/2006/relationships/hyperlink" Target="https://www.southbayroofingco.com/" TargetMode="External"/><Relationship Id="rId10" Type="http://schemas.openxmlformats.org/officeDocument/2006/relationships/hyperlink" Target="https://thermatechhvac.com/financin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call.leaderestoration.com/mold-408" TargetMode="External"/><Relationship Id="rId2" Type="http://schemas.openxmlformats.org/officeDocument/2006/relationships/hyperlink" Target="https://flooddrywdr.com/" TargetMode="External"/><Relationship Id="rId3" Type="http://schemas.openxmlformats.org/officeDocument/2006/relationships/hyperlink" Target="https://www.irbishvac.com/" TargetMode="External"/><Relationship Id="rId4" Type="http://schemas.openxmlformats.org/officeDocument/2006/relationships/hyperlink" Target="https://cawaterandfire.com/san-jose/" TargetMode="External"/><Relationship Id="rId5" Type="http://schemas.openxmlformats.org/officeDocument/2006/relationships/hyperlink" Target="https://infinium.inc/" TargetMode="External"/><Relationship Id="rId6" Type="http://schemas.openxmlformats.org/officeDocument/2006/relationships/hyperlink" Target="https://lifetimeroofingrenovation.com/" TargetMode="External"/><Relationship Id="rId7" Type="http://schemas.openxmlformats.org/officeDocument/2006/relationships/hyperlink" Target="https://roof-ex.com/san-jose" TargetMode="External"/><Relationship Id="rId8" Type="http://schemas.openxmlformats.org/officeDocument/2006/relationships/hyperlink" Target="https://www.google.com/search?q=Any+Hour+Water+and+Fire+San+Jose" TargetMode="External"/><Relationship Id="rId9" Type="http://schemas.openxmlformats.org/officeDocument/2006/relationships/hyperlink" Target="https://www.southbayroofingco.com/" TargetMode="External"/><Relationship Id="rId10" Type="http://schemas.openxmlformats.org/officeDocument/2006/relationships/hyperlink" Target="https://thermatechhvac.com/financing"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22</v>
      </c>
      <c r="J3" s="2" t="s">
        <v>34</v>
      </c>
      <c r="K3" s="2" t="s">
        <v>35</v>
      </c>
      <c r="L3" s="2" t="s">
        <v>36</v>
      </c>
      <c r="M3" s="2" t="s">
        <v>37</v>
      </c>
      <c r="N3" s="2" t="s">
        <v>27</v>
      </c>
      <c r="O3" s="2" t="s">
        <v>28</v>
      </c>
    </row>
    <row r="4" spans="1:15">
      <c r="A4" s="2">
        <v>3</v>
      </c>
      <c r="B4" s="2" t="s">
        <v>38</v>
      </c>
      <c r="C4" s="2" t="s">
        <v>39</v>
      </c>
      <c r="D4" s="2" t="s">
        <v>17</v>
      </c>
      <c r="E4" s="2" t="s">
        <v>18</v>
      </c>
      <c r="F4" s="2" t="s">
        <v>40</v>
      </c>
      <c r="G4" s="2" t="s">
        <v>41</v>
      </c>
      <c r="H4" s="2"/>
      <c r="I4" s="2" t="s">
        <v>42</v>
      </c>
      <c r="J4" s="2" t="s">
        <v>43</v>
      </c>
      <c r="K4" s="2" t="s">
        <v>44</v>
      </c>
      <c r="L4" s="2" t="s">
        <v>45</v>
      </c>
      <c r="M4" s="2" t="s">
        <v>46</v>
      </c>
      <c r="N4" s="2" t="s">
        <v>27</v>
      </c>
      <c r="O4" s="2" t="s">
        <v>28</v>
      </c>
    </row>
    <row r="5" spans="1:15">
      <c r="A5" s="2">
        <v>4</v>
      </c>
      <c r="B5" s="2" t="s">
        <v>47</v>
      </c>
      <c r="C5" s="2" t="s">
        <v>48</v>
      </c>
      <c r="D5" s="2" t="s">
        <v>17</v>
      </c>
      <c r="E5" s="2" t="s">
        <v>18</v>
      </c>
      <c r="F5" s="2" t="s">
        <v>49</v>
      </c>
      <c r="G5" s="2" t="s">
        <v>50</v>
      </c>
      <c r="H5" s="2"/>
      <c r="I5" s="2" t="s">
        <v>22</v>
      </c>
      <c r="J5" s="2" t="s">
        <v>51</v>
      </c>
      <c r="K5" s="2" t="s">
        <v>52</v>
      </c>
      <c r="L5" s="2" t="s">
        <v>53</v>
      </c>
      <c r="M5" s="2" t="s">
        <v>54</v>
      </c>
      <c r="N5" s="2" t="s">
        <v>27</v>
      </c>
      <c r="O5" s="2" t="s">
        <v>28</v>
      </c>
    </row>
    <row r="6" spans="1:15">
      <c r="A6" s="2">
        <v>5</v>
      </c>
      <c r="B6" s="2" t="s">
        <v>55</v>
      </c>
      <c r="C6" s="2" t="s">
        <v>56</v>
      </c>
      <c r="D6" s="2" t="s">
        <v>57</v>
      </c>
      <c r="E6" s="2" t="s">
        <v>18</v>
      </c>
      <c r="F6" s="2" t="s">
        <v>58</v>
      </c>
      <c r="G6" s="2" t="s">
        <v>59</v>
      </c>
      <c r="H6" s="2"/>
      <c r="I6" s="2" t="s">
        <v>60</v>
      </c>
      <c r="J6" s="2" t="s">
        <v>61</v>
      </c>
      <c r="K6" s="2" t="s">
        <v>62</v>
      </c>
      <c r="L6" s="2" t="s">
        <v>63</v>
      </c>
      <c r="M6" s="2" t="s">
        <v>64</v>
      </c>
      <c r="N6" s="2" t="s">
        <v>27</v>
      </c>
      <c r="O6" s="2" t="s">
        <v>28</v>
      </c>
    </row>
    <row r="7" spans="1:15">
      <c r="A7" s="2">
        <v>6</v>
      </c>
      <c r="B7" s="2" t="s">
        <v>65</v>
      </c>
      <c r="C7" s="2" t="s">
        <v>66</v>
      </c>
      <c r="D7" s="2" t="s">
        <v>67</v>
      </c>
      <c r="E7" s="2" t="s">
        <v>18</v>
      </c>
      <c r="F7" s="2" t="s">
        <v>68</v>
      </c>
      <c r="G7" s="2" t="s">
        <v>69</v>
      </c>
      <c r="H7" s="2"/>
      <c r="I7" s="2" t="s">
        <v>70</v>
      </c>
      <c r="J7" s="2" t="s">
        <v>71</v>
      </c>
      <c r="K7" s="2" t="s">
        <v>72</v>
      </c>
      <c r="L7" s="2" t="s">
        <v>73</v>
      </c>
      <c r="M7" s="2" t="s">
        <v>74</v>
      </c>
      <c r="N7" s="2" t="s">
        <v>27</v>
      </c>
      <c r="O7" s="2" t="s">
        <v>28</v>
      </c>
    </row>
    <row r="8" spans="1:15">
      <c r="A8" s="2">
        <v>7</v>
      </c>
      <c r="B8" s="2" t="s">
        <v>75</v>
      </c>
      <c r="C8" s="2" t="s">
        <v>76</v>
      </c>
      <c r="D8" s="2" t="s">
        <v>77</v>
      </c>
      <c r="E8" s="2" t="s">
        <v>18</v>
      </c>
      <c r="F8" s="2" t="s">
        <v>78</v>
      </c>
      <c r="G8" s="2" t="s">
        <v>79</v>
      </c>
      <c r="H8" s="2" t="s">
        <v>80</v>
      </c>
      <c r="I8" s="2" t="s">
        <v>81</v>
      </c>
      <c r="J8" s="2" t="s">
        <v>82</v>
      </c>
      <c r="K8" s="2" t="s">
        <v>83</v>
      </c>
      <c r="L8" s="2" t="s">
        <v>84</v>
      </c>
      <c r="M8" s="2" t="s">
        <v>85</v>
      </c>
      <c r="N8" s="2" t="s">
        <v>27</v>
      </c>
      <c r="O8" s="2" t="s">
        <v>28</v>
      </c>
    </row>
    <row r="9" spans="1:15">
      <c r="A9" s="2">
        <v>8</v>
      </c>
      <c r="B9" s="2" t="s">
        <v>86</v>
      </c>
      <c r="C9" s="2" t="s">
        <v>87</v>
      </c>
      <c r="D9" s="2" t="s">
        <v>88</v>
      </c>
      <c r="E9" s="2" t="s">
        <v>18</v>
      </c>
      <c r="F9" s="2" t="s">
        <v>89</v>
      </c>
      <c r="G9" s="2" t="s">
        <v>90</v>
      </c>
      <c r="H9" s="2"/>
      <c r="I9" s="2" t="s">
        <v>91</v>
      </c>
      <c r="J9" s="2" t="s">
        <v>92</v>
      </c>
      <c r="K9" s="2" t="s">
        <v>93</v>
      </c>
      <c r="L9" s="2" t="s">
        <v>94</v>
      </c>
      <c r="M9" s="2" t="s">
        <v>95</v>
      </c>
      <c r="N9" s="2" t="s">
        <v>27</v>
      </c>
      <c r="O9" s="2" t="s">
        <v>28</v>
      </c>
    </row>
    <row r="10" spans="1:15">
      <c r="A10" s="2">
        <v>9</v>
      </c>
      <c r="B10" s="2" t="s">
        <v>96</v>
      </c>
      <c r="C10" s="2" t="s">
        <v>76</v>
      </c>
      <c r="D10" s="2" t="s">
        <v>17</v>
      </c>
      <c r="E10" s="2" t="s">
        <v>18</v>
      </c>
      <c r="F10" s="2" t="s">
        <v>97</v>
      </c>
      <c r="G10" s="2" t="s">
        <v>98</v>
      </c>
      <c r="H10" s="2"/>
      <c r="I10" s="2" t="s">
        <v>99</v>
      </c>
      <c r="J10" s="2" t="s">
        <v>100</v>
      </c>
      <c r="K10" s="2" t="s">
        <v>101</v>
      </c>
      <c r="L10" s="2" t="s">
        <v>102</v>
      </c>
      <c r="M10" s="2" t="s">
        <v>103</v>
      </c>
      <c r="N10" s="2" t="s">
        <v>27</v>
      </c>
      <c r="O10" s="2" t="s">
        <v>28</v>
      </c>
    </row>
    <row r="11" spans="1:15">
      <c r="A11" s="2">
        <v>10</v>
      </c>
      <c r="B11" s="2" t="s">
        <v>104</v>
      </c>
      <c r="C11" s="2" t="s">
        <v>105</v>
      </c>
      <c r="D11" s="2" t="s">
        <v>17</v>
      </c>
      <c r="E11" s="2" t="s">
        <v>18</v>
      </c>
      <c r="F11" s="2" t="s">
        <v>106</v>
      </c>
      <c r="G11" s="2" t="s">
        <v>107</v>
      </c>
      <c r="H11" s="2" t="s">
        <v>108</v>
      </c>
      <c r="I11" s="2" t="s">
        <v>109</v>
      </c>
      <c r="J11" s="2" t="s">
        <v>110</v>
      </c>
      <c r="K11" s="2" t="s">
        <v>111</v>
      </c>
      <c r="L11" s="2" t="s">
        <v>112</v>
      </c>
      <c r="M11" s="2" t="s">
        <v>113</v>
      </c>
      <c r="N11" s="2" t="s">
        <v>27</v>
      </c>
      <c r="O11" s="2" t="s">
        <v>28</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114</v>
      </c>
      <c r="B1" s="1" t="s">
        <v>115</v>
      </c>
      <c r="C1" s="1" t="s">
        <v>116</v>
      </c>
      <c r="D1" s="1" t="s">
        <v>117</v>
      </c>
    </row>
    <row r="2" spans="1:4">
      <c r="A2" s="2" t="s">
        <v>118</v>
      </c>
      <c r="B2" s="2" t="s">
        <v>119</v>
      </c>
      <c r="C2" s="2" t="s">
        <v>120</v>
      </c>
      <c r="D2" s="2" t="s">
        <v>121</v>
      </c>
    </row>
    <row r="3" spans="1:4">
      <c r="A3" s="2" t="s">
        <v>122</v>
      </c>
      <c r="B3" s="2" t="s">
        <v>123</v>
      </c>
      <c r="C3" s="2" t="s">
        <v>124</v>
      </c>
      <c r="D3" s="2" t="s">
        <v>125</v>
      </c>
    </row>
    <row r="4" spans="1:4">
      <c r="A4" s="2" t="s">
        <v>126</v>
      </c>
      <c r="B4" s="2" t="s">
        <v>127</v>
      </c>
      <c r="C4" s="2" t="s">
        <v>128</v>
      </c>
      <c r="D4" s="2" t="s">
        <v>129</v>
      </c>
    </row>
    <row r="5" spans="1:4">
      <c r="A5" s="2" t="s">
        <v>130</v>
      </c>
      <c r="B5" s="2" t="s">
        <v>131</v>
      </c>
      <c r="C5" s="2" t="s">
        <v>132</v>
      </c>
      <c r="D5" s="2" t="s">
        <v>133</v>
      </c>
    </row>
    <row r="6" spans="1:4">
      <c r="A6" s="2" t="s">
        <v>134</v>
      </c>
      <c r="B6" s="2" t="s">
        <v>135</v>
      </c>
      <c r="C6" s="2" t="s">
        <v>136</v>
      </c>
      <c r="D6" s="2" t="s">
        <v>137</v>
      </c>
    </row>
    <row r="7" spans="1:4">
      <c r="A7" s="2" t="s">
        <v>138</v>
      </c>
      <c r="B7" s="2" t="s">
        <v>139</v>
      </c>
      <c r="C7" s="2" t="s">
        <v>140</v>
      </c>
      <c r="D7" s="2" t="s">
        <v>141</v>
      </c>
    </row>
    <row r="8" spans="1:4">
      <c r="A8" s="2" t="s">
        <v>142</v>
      </c>
      <c r="B8" s="2" t="s">
        <v>143</v>
      </c>
      <c r="C8" s="2" t="s">
        <v>144</v>
      </c>
      <c r="D8" s="2" t="s">
        <v>145</v>
      </c>
    </row>
    <row r="9" spans="1:4">
      <c r="A9" s="2" t="s">
        <v>146</v>
      </c>
      <c r="B9" s="2" t="s">
        <v>147</v>
      </c>
      <c r="C9" s="2" t="s">
        <v>148</v>
      </c>
      <c r="D9" s="2" t="s">
        <v>149</v>
      </c>
    </row>
    <row r="10" spans="1:4">
      <c r="A10" s="2" t="s">
        <v>150</v>
      </c>
      <c r="B10" s="2" t="s">
        <v>151</v>
      </c>
      <c r="C10" s="2" t="s">
        <v>152</v>
      </c>
      <c r="D10" s="2" t="s">
        <v>153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154</v>
      </c>
      <c r="B1" s="1" t="s">
        <v>155</v>
      </c>
      <c r="C1" s="1" t="s">
        <v>156</v>
      </c>
      <c r="D1" s="1" t="s">
        <v>157</v>
      </c>
      <c r="E1" s="1" t="s">
        <v>158</v>
      </c>
      <c r="F1" s="1" t="s">
        <v>159</v>
      </c>
      <c r="G1" s="1" t="s">
        <v>160</v>
      </c>
      <c r="H1" s="1" t="s">
        <v>161</v>
      </c>
      <c r="I1" s="1" t="s">
        <v>162</v>
      </c>
      <c r="J1" s="1" t="s">
        <v>115</v>
      </c>
      <c r="K1" s="1" t="s">
        <v>163</v>
      </c>
      <c r="L1" s="1" t="s">
        <v>164</v>
      </c>
      <c r="M1" s="1" t="s">
        <v>165</v>
      </c>
      <c r="N1" s="1" t="s">
        <v>166</v>
      </c>
      <c r="O1" s="1" t="s">
        <v>167</v>
      </c>
      <c r="P1" s="1" t="s">
        <v>168</v>
      </c>
      <c r="Q1" s="1" t="s">
        <v>169</v>
      </c>
    </row>
    <row r="2" spans="1:17">
      <c r="A2" s="2" t="s">
        <v>15</v>
      </c>
      <c r="B2" s="2">
        <v>1</v>
      </c>
      <c r="C2" s="2" t="s">
        <v>21</v>
      </c>
      <c r="D2" s="2"/>
      <c r="E2" s="2"/>
      <c r="F2" s="2"/>
      <c r="G2" s="2"/>
      <c r="H2" s="2"/>
      <c r="I2" s="2"/>
      <c r="J2" s="2" t="s">
        <v>28</v>
      </c>
      <c r="K2" s="3">
        <v>150</v>
      </c>
      <c r="L2" s="3">
        <v>0</v>
      </c>
      <c r="M2" s="2"/>
      <c r="N2" s="2"/>
      <c r="O2" s="2"/>
      <c r="P2" s="2" t="s">
        <v>27</v>
      </c>
      <c r="Q2" s="2" t="s">
        <v>26</v>
      </c>
    </row>
    <row r="3" spans="1:17">
      <c r="A3" s="2" t="s">
        <v>29</v>
      </c>
      <c r="B3" s="2">
        <v>2</v>
      </c>
      <c r="C3" s="2" t="s">
        <v>33</v>
      </c>
      <c r="D3" s="2"/>
      <c r="E3" s="2"/>
      <c r="F3" s="2"/>
      <c r="G3" s="2"/>
      <c r="H3" s="2"/>
      <c r="I3" s="2"/>
      <c r="J3" s="2" t="s">
        <v>28</v>
      </c>
      <c r="K3" s="3">
        <v>150</v>
      </c>
      <c r="L3" s="3">
        <v>0</v>
      </c>
      <c r="M3" s="2"/>
      <c r="N3" s="2"/>
      <c r="O3" s="2"/>
      <c r="P3" s="2" t="s">
        <v>27</v>
      </c>
      <c r="Q3" s="2" t="s">
        <v>37</v>
      </c>
    </row>
    <row r="4" spans="1:17">
      <c r="A4" s="2" t="s">
        <v>38</v>
      </c>
      <c r="B4" s="2">
        <v>3</v>
      </c>
      <c r="C4" s="2" t="s">
        <v>41</v>
      </c>
      <c r="D4" s="2"/>
      <c r="E4" s="2"/>
      <c r="F4" s="2"/>
      <c r="G4" s="2"/>
      <c r="H4" s="2"/>
      <c r="I4" s="2"/>
      <c r="J4" s="2" t="s">
        <v>28</v>
      </c>
      <c r="K4" s="3">
        <v>150</v>
      </c>
      <c r="L4" s="3">
        <v>0</v>
      </c>
      <c r="M4" s="2"/>
      <c r="N4" s="2"/>
      <c r="O4" s="2"/>
      <c r="P4" s="2" t="s">
        <v>27</v>
      </c>
      <c r="Q4" s="2" t="s">
        <v>46</v>
      </c>
    </row>
    <row r="5" spans="1:17">
      <c r="A5" s="2" t="s">
        <v>47</v>
      </c>
      <c r="B5" s="2">
        <v>4</v>
      </c>
      <c r="C5" s="2" t="s">
        <v>50</v>
      </c>
      <c r="D5" s="2"/>
      <c r="E5" s="2"/>
      <c r="F5" s="2"/>
      <c r="G5" s="2"/>
      <c r="H5" s="2"/>
      <c r="I5" s="2"/>
      <c r="J5" s="2" t="s">
        <v>28</v>
      </c>
      <c r="K5" s="3">
        <v>150</v>
      </c>
      <c r="L5" s="3">
        <v>0</v>
      </c>
      <c r="M5" s="2"/>
      <c r="N5" s="2"/>
      <c r="O5" s="2"/>
      <c r="P5" s="2" t="s">
        <v>27</v>
      </c>
      <c r="Q5" s="2" t="s">
        <v>54</v>
      </c>
    </row>
    <row r="6" spans="1:17">
      <c r="A6" s="2" t="s">
        <v>55</v>
      </c>
      <c r="B6" s="2">
        <v>5</v>
      </c>
      <c r="C6" s="2" t="s">
        <v>59</v>
      </c>
      <c r="D6" s="2"/>
      <c r="E6" s="2"/>
      <c r="F6" s="2"/>
      <c r="G6" s="2"/>
      <c r="H6" s="2"/>
      <c r="I6" s="2"/>
      <c r="J6" s="2" t="s">
        <v>28</v>
      </c>
      <c r="K6" s="3">
        <v>150</v>
      </c>
      <c r="L6" s="3">
        <v>0</v>
      </c>
      <c r="M6" s="2"/>
      <c r="N6" s="2"/>
      <c r="O6" s="2"/>
      <c r="P6" s="2" t="s">
        <v>27</v>
      </c>
      <c r="Q6" s="2" t="s">
        <v>64</v>
      </c>
    </row>
    <row r="7" spans="1:17">
      <c r="A7" s="2" t="s">
        <v>65</v>
      </c>
      <c r="B7" s="2">
        <v>6</v>
      </c>
      <c r="C7" s="2" t="s">
        <v>69</v>
      </c>
      <c r="D7" s="2"/>
      <c r="E7" s="2"/>
      <c r="F7" s="2"/>
      <c r="G7" s="2"/>
      <c r="H7" s="2"/>
      <c r="I7" s="2"/>
      <c r="J7" s="2" t="s">
        <v>28</v>
      </c>
      <c r="K7" s="3">
        <v>150</v>
      </c>
      <c r="L7" s="3">
        <v>0</v>
      </c>
      <c r="M7" s="2"/>
      <c r="N7" s="2"/>
      <c r="O7" s="2"/>
      <c r="P7" s="2" t="s">
        <v>27</v>
      </c>
      <c r="Q7" s="2" t="s">
        <v>74</v>
      </c>
    </row>
    <row r="8" spans="1:17">
      <c r="A8" s="2" t="s">
        <v>75</v>
      </c>
      <c r="B8" s="2">
        <v>7</v>
      </c>
      <c r="C8" s="2" t="s">
        <v>80</v>
      </c>
      <c r="D8" s="2"/>
      <c r="E8" s="2"/>
      <c r="F8" s="2"/>
      <c r="G8" s="2"/>
      <c r="H8" s="2"/>
      <c r="I8" s="2"/>
      <c r="J8" s="2" t="s">
        <v>28</v>
      </c>
      <c r="K8" s="3">
        <v>150</v>
      </c>
      <c r="L8" s="3">
        <v>0</v>
      </c>
      <c r="M8" s="2"/>
      <c r="N8" s="2"/>
      <c r="O8" s="2"/>
      <c r="P8" s="2" t="s">
        <v>27</v>
      </c>
      <c r="Q8" s="2" t="s">
        <v>85</v>
      </c>
    </row>
    <row r="9" spans="1:17">
      <c r="A9" s="2" t="s">
        <v>86</v>
      </c>
      <c r="B9" s="2">
        <v>8</v>
      </c>
      <c r="C9" s="2" t="s">
        <v>90</v>
      </c>
      <c r="D9" s="2"/>
      <c r="E9" s="2"/>
      <c r="F9" s="2"/>
      <c r="G9" s="2"/>
      <c r="H9" s="2"/>
      <c r="I9" s="2"/>
      <c r="J9" s="2" t="s">
        <v>28</v>
      </c>
      <c r="K9" s="3">
        <v>150</v>
      </c>
      <c r="L9" s="3">
        <v>0</v>
      </c>
      <c r="M9" s="2"/>
      <c r="N9" s="2"/>
      <c r="O9" s="2"/>
      <c r="P9" s="2" t="s">
        <v>27</v>
      </c>
      <c r="Q9" s="2" t="s">
        <v>95</v>
      </c>
    </row>
    <row r="10" spans="1:17">
      <c r="A10" s="2" t="s">
        <v>96</v>
      </c>
      <c r="B10" s="2">
        <v>9</v>
      </c>
      <c r="C10" s="2" t="s">
        <v>98</v>
      </c>
      <c r="D10" s="2"/>
      <c r="E10" s="2"/>
      <c r="F10" s="2"/>
      <c r="G10" s="2"/>
      <c r="H10" s="2"/>
      <c r="I10" s="2"/>
      <c r="J10" s="2" t="s">
        <v>28</v>
      </c>
      <c r="K10" s="3">
        <v>150</v>
      </c>
      <c r="L10" s="3">
        <v>0</v>
      </c>
      <c r="M10" s="2"/>
      <c r="N10" s="2"/>
      <c r="O10" s="2"/>
      <c r="P10" s="2" t="s">
        <v>27</v>
      </c>
      <c r="Q10" s="2" t="s">
        <v>103</v>
      </c>
    </row>
    <row r="11" spans="1:17">
      <c r="A11" s="2" t="s">
        <v>104</v>
      </c>
      <c r="B11" s="2">
        <v>10</v>
      </c>
      <c r="C11" s="2" t="s">
        <v>108</v>
      </c>
      <c r="D11" s="2"/>
      <c r="E11" s="2"/>
      <c r="F11" s="2"/>
      <c r="G11" s="2"/>
      <c r="H11" s="2"/>
      <c r="I11" s="2"/>
      <c r="J11" s="2" t="s">
        <v>28</v>
      </c>
      <c r="K11" s="3">
        <v>150</v>
      </c>
      <c r="L11" s="3">
        <v>0</v>
      </c>
      <c r="M11" s="2"/>
      <c r="N11" s="2"/>
      <c r="O11" s="2"/>
      <c r="P11" s="2" t="s">
        <v>27</v>
      </c>
      <c r="Q11" s="2" t="s">
        <v>113</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7"/>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115</v>
      </c>
      <c r="C1" s="4" t="s">
        <v>157</v>
      </c>
      <c r="D1" s="4" t="s">
        <v>162</v>
      </c>
      <c r="E1" s="4" t="s">
        <v>163</v>
      </c>
      <c r="F1" s="4" t="s">
        <v>164</v>
      </c>
      <c r="G1" s="4" t="s">
        <v>170</v>
      </c>
      <c r="H1" s="4" t="s">
        <v>167</v>
      </c>
    </row>
    <row r="2" spans="1:8">
      <c r="A2" s="2" t="s">
        <v>171</v>
      </c>
      <c r="B2" s="2" t="s">
        <v>28</v>
      </c>
      <c r="C2" s="2"/>
      <c r="D2" s="2"/>
      <c r="E2" s="3">
        <v>150</v>
      </c>
      <c r="F2" s="3">
        <v>0</v>
      </c>
      <c r="G2" s="2" t="s">
        <v>27</v>
      </c>
      <c r="H2" s="2"/>
    </row>
    <row r="3" spans="1:8">
      <c r="A3" s="2" t="s">
        <v>172</v>
      </c>
      <c r="B3" s="2" t="s">
        <v>28</v>
      </c>
      <c r="C3" s="2"/>
      <c r="D3" s="2"/>
      <c r="E3" s="3">
        <v>150</v>
      </c>
      <c r="F3" s="3">
        <v>0</v>
      </c>
      <c r="G3" s="2" t="s">
        <v>27</v>
      </c>
      <c r="H3" s="2"/>
    </row>
    <row r="4" spans="1:8">
      <c r="A4" s="2" t="s">
        <v>173</v>
      </c>
      <c r="B4" s="2" t="s">
        <v>28</v>
      </c>
      <c r="C4" s="2"/>
      <c r="D4" s="2"/>
      <c r="E4" s="3">
        <v>150</v>
      </c>
      <c r="F4" s="3">
        <v>0</v>
      </c>
      <c r="G4" s="2" t="s">
        <v>27</v>
      </c>
      <c r="H4" s="2"/>
    </row>
    <row r="5" spans="1:8">
      <c r="A5" s="2" t="s">
        <v>174</v>
      </c>
      <c r="B5" s="2" t="s">
        <v>28</v>
      </c>
      <c r="C5" s="2"/>
      <c r="D5" s="2"/>
      <c r="E5" s="3">
        <v>150</v>
      </c>
      <c r="F5" s="3">
        <v>0</v>
      </c>
      <c r="G5" s="2" t="s">
        <v>27</v>
      </c>
      <c r="H5" s="2"/>
    </row>
    <row r="6" spans="1:8">
      <c r="A6" s="2" t="s">
        <v>175</v>
      </c>
      <c r="B6" s="2" t="s">
        <v>28</v>
      </c>
      <c r="C6" s="2"/>
      <c r="D6" s="2"/>
      <c r="E6" s="3">
        <v>150</v>
      </c>
      <c r="F6" s="3">
        <v>0</v>
      </c>
      <c r="G6" s="2" t="s">
        <v>27</v>
      </c>
      <c r="H6" s="2"/>
    </row>
    <row r="7" spans="1:8">
      <c r="A7" s="2" t="s">
        <v>176</v>
      </c>
      <c r="B7" s="2" t="s">
        <v>28</v>
      </c>
      <c r="C7" s="2"/>
      <c r="D7" s="2"/>
      <c r="E7" s="3">
        <v>150</v>
      </c>
      <c r="F7" s="3">
        <v>0</v>
      </c>
      <c r="G7" s="2" t="s">
        <v>27</v>
      </c>
      <c r="H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177</v>
      </c>
      <c r="E1" s="1" t="s">
        <v>178</v>
      </c>
    </row>
    <row r="2" spans="1:5">
      <c r="A2" s="2" t="s">
        <v>15</v>
      </c>
      <c r="B2" s="2" t="s">
        <v>19</v>
      </c>
      <c r="C2" s="2" t="s">
        <v>26</v>
      </c>
      <c r="D2" s="2" t="s">
        <v>27</v>
      </c>
      <c r="E2" s="2" t="s">
        <v>179</v>
      </c>
    </row>
    <row r="3" spans="1:5">
      <c r="A3" s="2" t="s">
        <v>29</v>
      </c>
      <c r="B3" s="2" t="s">
        <v>31</v>
      </c>
      <c r="C3" s="2" t="s">
        <v>37</v>
      </c>
      <c r="D3" s="2" t="s">
        <v>27</v>
      </c>
      <c r="E3" s="2" t="s">
        <v>179</v>
      </c>
    </row>
    <row r="4" spans="1:5">
      <c r="A4" s="2" t="s">
        <v>38</v>
      </c>
      <c r="B4" s="2" t="s">
        <v>40</v>
      </c>
      <c r="C4" s="2" t="s">
        <v>46</v>
      </c>
      <c r="D4" s="2" t="s">
        <v>27</v>
      </c>
      <c r="E4" s="2" t="s">
        <v>179</v>
      </c>
    </row>
    <row r="5" spans="1:5">
      <c r="A5" s="2" t="s">
        <v>47</v>
      </c>
      <c r="B5" s="2" t="s">
        <v>49</v>
      </c>
      <c r="C5" s="2" t="s">
        <v>54</v>
      </c>
      <c r="D5" s="2" t="s">
        <v>27</v>
      </c>
      <c r="E5" s="2" t="s">
        <v>179</v>
      </c>
    </row>
    <row r="6" spans="1:5">
      <c r="A6" s="2" t="s">
        <v>55</v>
      </c>
      <c r="B6" s="2" t="s">
        <v>58</v>
      </c>
      <c r="C6" s="2" t="s">
        <v>64</v>
      </c>
      <c r="D6" s="2" t="s">
        <v>27</v>
      </c>
      <c r="E6" s="2" t="s">
        <v>179</v>
      </c>
    </row>
    <row r="7" spans="1:5">
      <c r="A7" s="2" t="s">
        <v>65</v>
      </c>
      <c r="B7" s="2" t="s">
        <v>68</v>
      </c>
      <c r="C7" s="2" t="s">
        <v>74</v>
      </c>
      <c r="D7" s="2" t="s">
        <v>27</v>
      </c>
      <c r="E7" s="2" t="s">
        <v>179</v>
      </c>
    </row>
    <row r="8" spans="1:5">
      <c r="A8" s="2" t="s">
        <v>75</v>
      </c>
      <c r="B8" s="2" t="s">
        <v>78</v>
      </c>
      <c r="C8" s="2" t="s">
        <v>85</v>
      </c>
      <c r="D8" s="2" t="s">
        <v>27</v>
      </c>
      <c r="E8" s="2" t="s">
        <v>179</v>
      </c>
    </row>
    <row r="9" spans="1:5">
      <c r="A9" s="2" t="s">
        <v>86</v>
      </c>
      <c r="B9" s="2" t="s">
        <v>89</v>
      </c>
      <c r="C9" s="2" t="s">
        <v>95</v>
      </c>
      <c r="D9" s="2" t="s">
        <v>27</v>
      </c>
      <c r="E9" s="2" t="s">
        <v>179</v>
      </c>
    </row>
    <row r="10" spans="1:5">
      <c r="A10" s="2" t="s">
        <v>96</v>
      </c>
      <c r="B10" s="2" t="s">
        <v>97</v>
      </c>
      <c r="C10" s="2" t="s">
        <v>103</v>
      </c>
      <c r="D10" s="2" t="s">
        <v>27</v>
      </c>
      <c r="E10" s="2" t="s">
        <v>179</v>
      </c>
    </row>
    <row r="11" spans="1:5">
      <c r="A11" s="2" t="s">
        <v>104</v>
      </c>
      <c r="B11" s="2" t="s">
        <v>106</v>
      </c>
      <c r="C11" s="2" t="s">
        <v>113</v>
      </c>
      <c r="D11" s="2" t="s">
        <v>27</v>
      </c>
      <c r="E11" s="2" t="s">
        <v>179</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180</v>
      </c>
      <c r="B1" s="5"/>
      <c r="C1" s="5"/>
      <c r="D1" s="5"/>
      <c r="E1" s="5"/>
    </row>
    <row r="3" spans="1:5">
      <c r="A3" s="1" t="s">
        <v>181</v>
      </c>
      <c r="B3" s="1" t="s">
        <v>182</v>
      </c>
      <c r="C3" s="2"/>
      <c r="D3" s="1" t="s">
        <v>183</v>
      </c>
      <c r="E3" s="1" t="s">
        <v>182</v>
      </c>
    </row>
    <row r="4" spans="1:5">
      <c r="A4" s="2" t="s">
        <v>28</v>
      </c>
      <c r="B4" s="2">
        <f>COUNTIF(Pipeline!J:J,"Contact Ready")</f>
        <v>0</v>
      </c>
      <c r="D4" s="2" t="s">
        <v>188</v>
      </c>
      <c r="E4" s="3">
        <f>SUM(Pipeline!K:K)</f>
        <v>0</v>
      </c>
    </row>
    <row r="5" spans="1:5">
      <c r="A5" s="2" t="s">
        <v>184</v>
      </c>
      <c r="B5" s="2">
        <f>COUNTIF(Pipeline!J:J,"Contacted")</f>
        <v>0</v>
      </c>
      <c r="D5" s="2" t="s">
        <v>189</v>
      </c>
      <c r="E5" s="3">
        <f>SUM(Pipeline!L:L)</f>
        <v>0</v>
      </c>
    </row>
    <row r="6" spans="1:5">
      <c r="A6" s="2" t="s">
        <v>185</v>
      </c>
      <c r="B6" s="2">
        <f>COUNTIF(Pipeline!J:J,"Replied")</f>
        <v>0</v>
      </c>
      <c r="D6" s="2" t="s">
        <v>190</v>
      </c>
      <c r="E6" s="6">
        <f>IFERROR(COUNTIF(Pipeline!J:J,"Replied")/COUNTIF(Pipeline!D:D,"&lt;&gt;"),0)</f>
        <v>0</v>
      </c>
    </row>
    <row r="7" spans="1:5">
      <c r="A7" s="2" t="s">
        <v>186</v>
      </c>
      <c r="B7" s="2">
        <f>COUNTIF(Pipeline!J:J,"Negotiating")</f>
        <v>0</v>
      </c>
      <c r="D7" s="2" t="s">
        <v>191</v>
      </c>
      <c r="E7" s="6">
        <f>IFERROR(COUNTIF(Pipeline!J:J,"Won/Paid")/COUNTIF(Pipeline!D:D,"&lt;&gt;"),0)</f>
        <v>0</v>
      </c>
    </row>
    <row r="8" spans="1:5">
      <c r="A8" s="2" t="s">
        <v>187</v>
      </c>
      <c r="B8" s="2">
        <f>COUNTIF(Pipeline!J:J,"Won/Paid")</f>
        <v>0</v>
      </c>
    </row>
    <row r="9" spans="1:5">
      <c r="A9" s="2" t="s">
        <v>165</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192</v>
      </c>
      <c r="B1" s="1" t="s">
        <v>193</v>
      </c>
    </row>
    <row r="2" spans="1:2">
      <c r="A2" s="2" t="s">
        <v>194</v>
      </c>
      <c r="B2" s="2" t="s">
        <v>195</v>
      </c>
    </row>
    <row r="3" spans="1:2">
      <c r="A3" s="2" t="s">
        <v>196</v>
      </c>
      <c r="B3" s="2" t="s">
        <v>197</v>
      </c>
    </row>
    <row r="4" spans="1:2">
      <c r="A4" s="2" t="s">
        <v>198</v>
      </c>
      <c r="B4" s="2" t="s">
        <v>199</v>
      </c>
    </row>
    <row r="5" spans="1:2">
      <c r="A5" s="2" t="s">
        <v>200</v>
      </c>
      <c r="B5" s="2" t="s">
        <v>201</v>
      </c>
    </row>
    <row r="6" spans="1:2">
      <c r="A6" s="2" t="s">
        <v>202</v>
      </c>
      <c r="B6" s="2" t="s">
        <v>203</v>
      </c>
    </row>
    <row r="7" spans="1:2">
      <c r="A7" s="2" t="s">
        <v>204</v>
      </c>
      <c r="B7" s="2" t="s">
        <v>205</v>
      </c>
    </row>
    <row r="8" spans="1:2">
      <c r="A8" s="2" t="s">
        <v>206</v>
      </c>
      <c r="B8" s="2" t="s">
        <v>207</v>
      </c>
    </row>
    <row r="9" spans="1:2">
      <c r="A9" s="2" t="s">
        <v>208</v>
      </c>
      <c r="B9" s="2" t="s">
        <v>209</v>
      </c>
    </row>
    <row r="10" spans="1:2">
      <c r="A10" s="2" t="s">
        <v>210</v>
      </c>
      <c r="B10" s="2" t="s">
        <v>211</v>
      </c>
    </row>
    <row r="11" spans="1:2">
      <c r="A11" s="2" t="s">
        <v>212</v>
      </c>
      <c r="B11" s="2" t="s">
        <v>213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214</v>
      </c>
      <c r="B1" s="1" t="s">
        <v>215</v>
      </c>
      <c r="C1" s="1" t="s">
        <v>216</v>
      </c>
      <c r="D1" s="1" t="s">
        <v>217</v>
      </c>
      <c r="E1" s="1" t="s">
        <v>218</v>
      </c>
    </row>
    <row r="2" spans="1:5">
      <c r="A2" s="2" t="s">
        <v>27</v>
      </c>
      <c r="B2" s="2" t="s">
        <v>27</v>
      </c>
      <c r="C2" s="2">
        <v>10</v>
      </c>
      <c r="D2" s="2">
        <v>6</v>
      </c>
      <c r="E2" s="2" t="s">
        <v>219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2026-09-06T16:04:30Z</dcterms:created>
  <dcterms:modified xsi:type="dcterms:W3CDTF">2026-09-06T16:04:30Z</dcterms:modified>
</cp:coreProperties>
</file>