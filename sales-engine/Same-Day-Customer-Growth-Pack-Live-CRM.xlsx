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ority Leads" sheetId="1" r:id="rId1"/>
    <sheet name="Scripts" sheetId="2" r:id="rId2"/>
    <sheet name="Pipeline" sheetId="3" r:id="rId3"/>
    <sheet name="Archived Leads" sheetId="4" r:id="rId4"/>
    <sheet name="Sources" sheetId="5" r:id="rId5"/>
    <sheet name="Dashboard" sheetId="6" r:id="rId6"/>
    <sheet name="Update Rules" sheetId="7" r:id="rId7"/>
    <sheet name="Refresh Log" sheetId="8" r:id="rId8"/>
  </sheets>
  <definedNames>
    <definedName name="_xlnm._FilterDatabase" localSheetId="2" hidden="1">Pipeline!$A$1:$Q$11</definedName>
    <definedName name="_xlnm._FilterDatabase" localSheetId="0" hidden="1">'Priority Leads'!$A$1:$O$11</definedName>
  </definedNames>
  <calcPr calcId="124519" fullCalcOnLoad="1"/>
</workbook>
</file>

<file path=xl/sharedStrings.xml><?xml version="1.0" encoding="utf-8"?>
<sst xmlns="http://schemas.openxmlformats.org/spreadsheetml/2006/main" count="400" uniqueCount="234">
  <si>
    <t>Rank</t>
  </si>
  <si>
    <t>Business</t>
  </si>
  <si>
    <t>Category</t>
  </si>
  <si>
    <t>City</t>
  </si>
  <si>
    <t>Tier</t>
  </si>
  <si>
    <t>Verified Opportunity</t>
  </si>
  <si>
    <t>Phone</t>
  </si>
  <si>
    <t>Email</t>
  </si>
  <si>
    <t>Reachability</t>
  </si>
  <si>
    <t>Angle</t>
  </si>
  <si>
    <t>Subject</t>
  </si>
  <si>
    <t>Individualized Initial Pitch</t>
  </si>
  <si>
    <t>Source URL</t>
  </si>
  <si>
    <t>Verified</t>
  </si>
  <si>
    <t>Status</t>
  </si>
  <si>
    <t>Therma Tech</t>
  </si>
  <si>
    <t>HVAC</t>
  </si>
  <si>
    <t>San Jose, CA</t>
  </si>
  <si>
    <t>A</t>
  </si>
  <si>
    <t>Official site is current today: Mon–Fri 7:00 AM–5:30 PM, info@thermatechhvac.com, same-day appointments, flexible financing, and a published contact expectation of a reply within one business hour.</t>
  </si>
  <si>
    <t>(408) 629-5400</t>
  </si>
  <si>
    <t>info@thermatechhvac.com</t>
  </si>
  <si>
    <t>Monday open; direct email; published reply target within 1 business hour</t>
  </si>
  <si>
    <t>Turn financing and same-day HVAC decision friction into plain-English cost/option education.</t>
  </si>
  <si>
    <t>Idea for Therma Tech’s financing + same-day traffic</t>
  </si>
  <si>
    <t>Hi — I checked Therma Tech’s current financing and same-day service pages today and noticed you publish a one-business-hour email response target.
I think there’s a strong customer question to build around:
“Can I solve the HVAC problem now without taking the entire replacement cost at once?”
I’d turn that into financing FAQs, Google/social posts, estimate follow-ups, objection responses and customer reactivation copy.
Same-Day Customer Growth Pack: $150 flat, no subscription.
Want me to send two Therma Tech-specific examples first?</t>
  </si>
  <si>
    <t>https://thermatechhvac.com/</t>
  </si>
  <si>
    <t>2026-09-07</t>
  </si>
  <si>
    <t>Contacted</t>
  </si>
  <si>
    <t>Leader Restoration</t>
  </si>
  <si>
    <t>Mold / Water / Fire Restoration</t>
  </si>
  <si>
    <t>September 2026 FREE mold inspection remains live through Sep 30. The official campaign publishes 24/7 response, a 60-minute arrival target, service@leaderestoration.com, and direct insurance billing.</t>
  </si>
  <si>
    <t>(408) 868-2433</t>
  </si>
  <si>
    <t>service@leaderestoration.com</t>
  </si>
  <si>
    <t>24/7; direct email</t>
  </si>
  <si>
    <t>Use the expiring September inspection as customer education about hidden moisture and mold risk.</t>
  </si>
  <si>
    <t>2 ideas for your September mold-inspection campaign</t>
  </si>
  <si>
    <t>Hi — I checked your September mold campaign again today and saw the free inspection is still live through September 30.
I think the strongest customer-facing angle is:
“You don’t need visible mold to have a moisture problem worth investigating.”
I’d turn that into a complete September campaign: Google/social posts, homeowner FAQs, inspection reminders, customer follow-ups and genuine review-request copy.
Same-Day Customer Growth Pack: $150 flat, no subscription.
I already drafted two Leader-specific examples. Want me to send them?</t>
  </si>
  <si>
    <t>https://call.leaderestoration.com/mold-408</t>
  </si>
  <si>
    <t>Contact Ready</t>
  </si>
  <si>
    <t>FloodDry Water Damage Restoration</t>
  </si>
  <si>
    <t>Water / Mold / Fire Restoration</t>
  </si>
  <si>
    <t>Official site was crawled today and publishes 24/7 emergency response, free inspections, roughly 45-minute response in many ZIP codes, service@flooddrywdr.com, claim-ready documentation, and a customer review posted within the last week.</t>
  </si>
  <si>
    <t>(408) 404-4000</t>
  </si>
  <si>
    <t>service@flooddrywdr.com</t>
  </si>
  <si>
    <t>24/7; direct email; fresh customer activity</t>
  </si>
  <si>
    <t>Translate moisture mapping, drying logs and insurance documentation into urgent plain-English education.</t>
  </si>
  <si>
    <t>Customer-education idea for FloodDry’s free inspection</t>
  </si>
  <si>
    <t>Hi — I reviewed FloodDry’s current San Jose process today and found a strong customer-education angle:
“The floor can look dry while moisture is still inside the structure.”
Your published process already supports that message with moisture readings, structural drying, drying logs and insurance documentation.
I’d turn it into emergency Google/social posts, homeowner FAQs, inspection follow-ups, insurance-documentation reminders and genuine review-request copy.
Complete Same-Day Customer Growth Pack: $150 flat.
Want me to send two FloodDry-specific samples first?</t>
  </si>
  <si>
    <t>https://flooddrywdr.com/water-damage-restoration-san-jose/</t>
  </si>
  <si>
    <t>The Roofer Bros</t>
  </si>
  <si>
    <t>Roofing / Home Improvement</t>
  </si>
  <si>
    <t>Bay Area / San Jose, CA</t>
  </si>
  <si>
    <t>Official Bay Area page is current with a 5-minute response claim, same-day estimates, free roof inspections/estimates, contact@therooferbros.com, financing as low as $149/month, and a current roof-replacement special.</t>
  </si>
  <si>
    <t>(669) 369-3181</t>
  </si>
  <si>
    <t>contact@therooferbros.com</t>
  </si>
  <si>
    <t>Direct email; published 5-minute response; same-day estimate CTA</t>
  </si>
  <si>
    <t>Turn fast response + free inspection + financing into a low-friction roof-decision campaign.</t>
  </si>
  <si>
    <t>Idea for your 5-minute roofing response funnel</t>
  </si>
  <si>
    <t>Hi — I reviewed The Roofer Bros’ current Bay Area page today and your strongest sales story may be the speed of the decision path itself:
“Fast response, free inspection, real scope, then financing if the project needs it.”
I’d turn that into inspection posts, financing FAQs, same-day estimate follow-ups, repair-vs-replacement education and genuine review-request copy.
Same-Day Customer Growth Pack: $150 flat.
Want two Roofer Bros-specific examples first?</t>
  </si>
  <si>
    <t>https://bay-area.therooferbros.com/</t>
  </si>
  <si>
    <t>Roof By Tom</t>
  </si>
  <si>
    <t>Roofing</t>
  </si>
  <si>
    <t>Official site was crawled today and publishes free written estimates, same-day leak help when available, roofbytom@gmail.com, same-day callbacks on most estimate requests, and financing for up to 100% of qualifying replacement projects with same-day approvals.</t>
  </si>
  <si>
    <t>(925) 488-1882</t>
  </si>
  <si>
    <t>roofbytom@gmail.com</t>
  </si>
  <si>
    <t>Direct email; same-day callbacks on most estimate requests</t>
  </si>
  <si>
    <t>Use the inspection → written scope → financing path to reduce replacement uncertainty.</t>
  </si>
  <si>
    <t>Idea for Roof By Tom’s same-day estimate flow</t>
  </si>
  <si>
    <t>Hi — I checked Roof By Tom’s current estimate and financing pages today and noticed you emphasize same-day callbacks on most estimate requests.
Campaign angle:
“First find out exactly what the roof needs. Then decide whether repair, replacement or financing makes sense.”
I’d turn that into leak-response posts, repair-vs-replacement FAQs, estimate follow-ups, financing education and genuine review-request copy.
Same-Day Customer Growth Pack: $150 flat.
Want two Roof By Tom-specific examples first?</t>
  </si>
  <si>
    <t>https://roofbytom.com/</t>
  </si>
  <si>
    <t>FairPrice Heating &amp; Cooling</t>
  </si>
  <si>
    <t>HVAC / Insulation / Indoor Air Quality</t>
  </si>
  <si>
    <t>Santa Clara / San Jose area, CA</t>
  </si>
  <si>
    <t>Official site is current with September specials expiring Sep 30, 24/7 availability, same-day service, financing, a $299 air-duct-cleaning offer, and direct email info@fairpriceheatingandcooling.com.</t>
  </si>
  <si>
    <t>(669) 282-6453</t>
  </si>
  <si>
    <t>info@fairpriceheatingandcooling.com</t>
  </si>
  <si>
    <t>24/7; direct email; active September specials</t>
  </si>
  <si>
    <t>Turn the expiring September specials into a cross-service HVAC + air-quality campaign.</t>
  </si>
  <si>
    <t>2 ideas for FairPrice’s September specials</t>
  </si>
  <si>
    <t>Hi — I checked FairPrice’s current site today and saw the September specials are live through September 30, including the air-duct-cleaning offer.
I think there’s a stronger campaign than simply repeating the coupon:
“Use the fall service visit to solve comfort, airflow and indoor-air-quality problems together.”
I’d turn that into Google/social posts, FAQs, offer reminders, follow-ups and genuine review-request copy.
Same-Day Customer Growth Pack: $150 flat.
Want two FairPrice-specific examples first?</t>
  </si>
  <si>
    <t>https://fairpriceheatingandcooling.com/</t>
  </si>
  <si>
    <t>ROOF EXPRESS</t>
  </si>
  <si>
    <t>San Jose / Bay Area, CA</t>
  </si>
  <si>
    <t>Current official pages publish sales@roof-ex.com, free estimates, same-day inspections Mon–Sat, photo-supported line-item scopes, financing up to $25,000, and 24/7 emergency roofing.</t>
  </si>
  <si>
    <t>(650) 666-5554</t>
  </si>
  <si>
    <t>sales@roof-ex.com</t>
  </si>
  <si>
    <t>Direct email; Monday business hours; emergency 24/7</t>
  </si>
  <si>
    <t>Market the transparent inspection → photo evidence → line-item scope → financing decision path.</t>
  </si>
  <si>
    <t>Idea for ROOF EXPRESS’s inspection-to-estimate flow</t>
  </si>
  <si>
    <t>Hi — I reviewed ROOF EXPRESS’s current San Jose process today. Your inspection flow gives you a stronger customer story than another generic roofing ad:
“See what the roof needs, what it costs and what the financing options are before deciding.”
I’d turn that into inspection posts, financing FAQs, estimate follow-ups, repair-vs-replacement education and genuine review-request copy.
Complete Same-Day Customer Growth Pack: $150 flat.
Want two ROOF EXPRESS-specific examples first?</t>
  </si>
  <si>
    <t>https://roof-ex.com/san-jose</t>
  </si>
  <si>
    <t>IRBIS Air Plumbing Electrical</t>
  </si>
  <si>
    <t>HVAC / Plumbing / Electrical</t>
  </si>
  <si>
    <t>Official site was crawled yesterday and promotes same-day HVAC, plumbing and electrical service in San Jose, with multiple trades under one license and same-day availability for breakdowns.</t>
  </si>
  <si>
    <t>(669) 266-5464</t>
  </si>
  <si>
    <t>Monday same-day service; phone contact</t>
  </si>
  <si>
    <t>Build one-home-one-team messaging around problems that cross HVAC, plumbing and electrical.</t>
  </si>
  <si>
    <t>One campaign across HVAC + plumbing + electrical</t>
  </si>
  <si>
    <t>Hi — I reviewed IRBIS today and your strongest marketing advantage isn’t one individual trade — it’s that HVAC, plumbing and electrical sit under one team.
Campaign angle:
“One call when the problem crosses systems.”
I’d turn that into same-day service posts, cross-service homeowner FAQs, missed-inquiry follow-ups, estimate follow-ups and genuine review-request messaging.
Same-Day Customer Growth Pack: $150 flat.
Want two IRBIS-specific examples first?</t>
  </si>
  <si>
    <t>https://www.irbishvac.com/</t>
  </si>
  <si>
    <t>Lifetime Roofing &amp; Renovation, Inc.</t>
  </si>
  <si>
    <t>Roofing / Exterior Renovation</t>
  </si>
  <si>
    <t>Sunnyvale / San Jose, CA</t>
  </si>
  <si>
    <t>Official site was crawled yesterday and publishes free/same-day roof inspections, emergency availability, and a current September storm-readiness inspection campaign ahead of rainy season.</t>
  </si>
  <si>
    <t>(408) 685-2177</t>
  </si>
  <si>
    <t>Monday; same-day inspections; emergency calls</t>
  </si>
  <si>
    <t>Use same-day inspections and rainy-season readiness to create a pre-rain inspection + estimate follow-up sequence.</t>
  </si>
  <si>
    <t>Idea for Lifetime’s September inspection campaign</t>
  </si>
  <si>
    <t>Hi — I checked Lifetime’s current September roof-inspection messaging today and there’s a strong campaign inside the offer:
“The first rain shouldn’t be the first time you learn where the roof is vulnerable.”
I’d turn the free inspection into roof-and-drainage education, Google/social posts, inspection reminders, estimate follow-ups and repair-vs-replacement FAQs.
Same-Day Customer Growth Pack: $150 flat.
Want two Lifetime-specific examples first?</t>
  </si>
  <si>
    <t>https://lifetimeroofingrenovation.com/</t>
  </si>
  <si>
    <t>Infinium Solar, Roofing and Electric</t>
  </si>
  <si>
    <t>Solar / Roofing / Electrical</t>
  </si>
  <si>
    <t>Campbell / San Jose, CA</t>
  </si>
  <si>
    <t>Official pages remain current and combine solar, roofing and electrical in-house, with free estimates and a published San Jose/South Bay phone line.</t>
  </si>
  <si>
    <t>(408) 583-8101</t>
  </si>
  <si>
    <t>Monday; official South Bay contact line</t>
  </si>
  <si>
    <t>Use pre-solar roof/electrical readiness and bundled project coordination as the campaign.</t>
  </si>
  <si>
    <t>Solar + roof + electrical campaign idea</t>
  </si>
  <si>
    <t>Hi — I reviewed Infinium’s current service mix today and think the best campaign is about what has to be ready before solar goes on the roof:
“Before installing a long-term solar and battery system, make sure the roof and electrical system underneath it are ready for the same project.”
I’d turn that into consultation FAQs, roof-readiness posts, solar/battery education, estimate follow-ups and cross-service CTAs.
Complete Same-Day Customer Growth Pack: $150 flat.
Want two Infinium-specific samples first?</t>
  </si>
  <si>
    <t>https://infinium.inc/solar/</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</si>
  <si>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</si>
  <si>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</si>
  <si>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</si>
  <si>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</si>
  <si>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</si>
  <si>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</si>
  <si>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</si>
  <si>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</si>
  <si>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</si>
  <si>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</si>
  <si>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</si>
  <si>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</si>
  <si>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</si>
  <si>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</si>
  <si>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</si>
  <si>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</si>
  <si>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</si>
  <si>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</si>
  <si>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</si>
  <si>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</si>
  <si>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</si>
  <si>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</si>
  <si>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</si>
  <si>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</si>
  <si>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</si>
  <si>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</si>
  <si>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</si>
  <si>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</si>
  <si>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</si>
  <si>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</si>
  <si>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</si>
  <si>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</si>
  <si>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</si>
  <si>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</si>
  <si>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</si>
  <si>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</si>
  <si>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</si>
  <si>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</si>
  <si>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</si>
  <si>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</si>
  <si>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</si>
  <si>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</si>
  <si>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</si>
  <si>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</si>
  <si>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</si>
  <si>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</si>
  <si>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</si>
  <si>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</si>
  <si>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</si>
  <si>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</si>
  <si>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</si>
  <si>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</si>
  <si>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</si>
  <si>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</si>
  <si>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</si>
  <si>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</si>
  <si>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2026-09-07T13:34:00-07:00</t>
  </si>
  <si>
    <t>2026-09-09</t>
  </si>
  <si>
    <t>Wait for a genuine reply; if none, send one respectful follow-up on 2026-09-09.</t>
  </si>
  <si>
    <t>Archived</t>
  </si>
  <si>
    <t>CostLess Heating &amp; Cooling</t>
  </si>
  <si>
    <t>2026-09-06</t>
  </si>
  <si>
    <t>Los Gatos Roofing</t>
  </si>
  <si>
    <t>Precision Heating &amp; Cooling</t>
  </si>
  <si>
    <t>Roofs By Reveille, Inc</t>
  </si>
  <si>
    <t>A1 Restoration</t>
  </si>
  <si>
    <t>911 Restoration of San Jose</t>
  </si>
  <si>
    <t>Any Hour Water and Fire</t>
  </si>
  <si>
    <t>California Water and Fire</t>
  </si>
  <si>
    <t>South Bay Roofing CO</t>
  </si>
  <si>
    <t>Eastman Roofing &amp; Waterproofing, Inc.</t>
  </si>
  <si>
    <t>Verified Date</t>
  </si>
  <si>
    <t>Reverify Rule</t>
  </si>
  <si>
    <t>Reverify time-sensitive offers, hours, financing, ETA, and contact details before outreach.</t>
  </si>
  <si>
    <t>SAME-DAY CUSTOMER GROWTH PACK — LIVE DASHBOARD</t>
  </si>
  <si>
    <t>Metric</t>
  </si>
  <si>
    <t>Value</t>
  </si>
  <si>
    <t>Revenue Metric</t>
  </si>
  <si>
    <t>Replied</t>
  </si>
  <si>
    <t>Negotiating</t>
  </si>
  <si>
    <t>Won/Paid</t>
  </si>
  <si>
    <t>Quoted Pipeline</t>
  </si>
  <si>
    <t>Paid Revenue</t>
  </si>
  <si>
    <t>Response Rate</t>
  </si>
  <si>
    <t>Close Rate</t>
  </si>
  <si>
    <t>Rule</t>
  </si>
  <si>
    <t>Requirement</t>
  </si>
  <si>
    <t>Canonical lead feed</t>
  </si>
  <si>
    <t>sales-engine-app/data/leads.json</t>
  </si>
  <si>
    <t>Canonical pipeline history</t>
  </si>
  <si>
    <t>sales-engine/pipeline-history.json</t>
  </si>
  <si>
    <t>Canonical workbook</t>
  </si>
  <si>
    <t>sales-engine/Same-Day-Customer-Growth-Pack-Live-CRM.xlsx</t>
  </si>
  <si>
    <t>Evidence</t>
  </si>
  <si>
    <t>Every active lead requires a current source URL and dated evidence-based opportunity.</t>
  </si>
  <si>
    <t>Contacts</t>
  </si>
  <si>
    <t>Never invent email, phone, person, role, offer, or contact detail.</t>
  </si>
  <si>
    <t>Pipeline truth</t>
  </si>
  <si>
    <t>Never mark contact, reply, payment, customer, revenue, or fulfillment unless it actually occurred.</t>
  </si>
  <si>
    <t>Follow-up</t>
  </si>
  <si>
    <t>Initial cold contact + max two cold follow-ups, then stop unless they reply.</t>
  </si>
  <si>
    <t>Opt-out</t>
  </si>
  <si>
    <t>Immediately stop and mark Do Not Contact.</t>
  </si>
  <si>
    <t>Claims</t>
  </si>
  <si>
    <t>No guaranteed leads, ROI, rankings, bookings, response rates, or revenue.</t>
  </si>
  <si>
    <t>Workbook generation</t>
  </si>
  <si>
    <t>GitHub Actions regenerates this XLSX from the live feed + pipeline history.</t>
  </si>
  <si>
    <t>Refresh Date</t>
  </si>
  <si>
    <t>Lead Feed Date</t>
  </si>
  <si>
    <t>Active Leads</t>
  </si>
  <si>
    <t>Archived Records</t>
  </si>
  <si>
    <t>Notes</t>
  </si>
  <si>
    <t>Generated automatically from verified GitHub sources; pipeline history preserved separately.</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</si>
</sst>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xf>
    <xf numFmtId="0" fontId="0" fillId="0" borderId="2" xfId="0" applyBorder="1" applyAlignment="1">
      <alignment vertical="top" wrapText="1"/>
    </xf>
    <xf numFmtId="164" fontId="0" fillId="0" borderId="2" xfId="0" applyNumberFormat="1" applyBorder="1"/>
    <xf numFmtId="0" fontId="1" fillId="3" borderId="1" xfId="0" applyFont="1" applyFill="1" applyBorder="1"/>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0.7109375" customWidth="1"/>
    <col min="3" max="3" width="26.7109375" customWidth="1"/>
    <col min="4" max="4" width="20.7109375" customWidth="1"/>
    <col min="5" max="5" width="8.7109375" customWidth="1"/>
    <col min="6" max="6" width="48.7109375" customWidth="1"/>
    <col min="7" max="7" width="18.7109375" customWidth="1"/>
    <col min="8" max="8" width="30.7109375" customWidth="1"/>
    <col min="9" max="9" width="26.7109375" customWidth="1"/>
    <col min="10" max="10" width="44.7109375" customWidth="1"/>
    <col min="11" max="11" width="36.7109375" customWidth="1"/>
    <col min="12" max="12" width="68.7109375" customWidth="1"/>
    <col min="13" max="13" width="46.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t="s">
        <v>20</v>
      </c>
      <c r="H2" s="2" t="s">
        <v>21</v>
      </c>
      <c r="I2" s="2" t="s">
        <v>22</v>
      </c>
      <c r="J2" s="2" t="s">
        <v>23</v>
      </c>
      <c r="K2" s="2" t="s">
        <v>24</v>
      </c>
      <c r="L2" s="2" t="s">
        <v>25</v>
      </c>
      <c r="M2" s="2" t="s">
        <v>26</v>
      </c>
      <c r="N2" s="2" t="s">
        <v>27</v>
      </c>
      <c r="O2" s="2" t="s">
        <v>28</v>
      </c>
    </row>
    <row r="3" spans="1:15">
      <c r="A3" s="2">
        <v>2</v>
      </c>
      <c r="B3" s="2" t="s">
        <v>29</v>
      </c>
      <c r="C3" s="2" t="s">
        <v>30</v>
      </c>
      <c r="D3" s="2" t="s">
        <v>17</v>
      </c>
      <c r="E3" s="2" t="s">
        <v>18</v>
      </c>
      <c r="F3" s="2" t="s">
        <v>31</v>
      </c>
      <c r="G3" s="2" t="s">
        <v>32</v>
      </c>
      <c r="H3" s="2" t="s">
        <v>33</v>
      </c>
      <c r="I3" s="2" t="s">
        <v>34</v>
      </c>
      <c r="J3" s="2" t="s">
        <v>35</v>
      </c>
      <c r="K3" s="2" t="s">
        <v>36</v>
      </c>
      <c r="L3" s="2" t="s">
        <v>37</v>
      </c>
      <c r="M3" s="2" t="s">
        <v>38</v>
      </c>
      <c r="N3" s="2" t="s">
        <v>27</v>
      </c>
      <c r="O3" s="2" t="s">
        <v>39</v>
      </c>
    </row>
    <row r="4" spans="1:15">
      <c r="A4" s="2">
        <v>3</v>
      </c>
      <c r="B4" s="2" t="s">
        <v>40</v>
      </c>
      <c r="C4" s="2" t="s">
        <v>41</v>
      </c>
      <c r="D4" s="2" t="s">
        <v>17</v>
      </c>
      <c r="E4" s="2" t="s">
        <v>18</v>
      </c>
      <c r="F4" s="2" t="s">
        <v>42</v>
      </c>
      <c r="G4" s="2" t="s">
        <v>43</v>
      </c>
      <c r="H4" s="2" t="s">
        <v>44</v>
      </c>
      <c r="I4" s="2" t="s">
        <v>45</v>
      </c>
      <c r="J4" s="2" t="s">
        <v>46</v>
      </c>
      <c r="K4" s="2" t="s">
        <v>47</v>
      </c>
      <c r="L4" s="2" t="s">
        <v>48</v>
      </c>
      <c r="M4" s="2" t="s">
        <v>49</v>
      </c>
      <c r="N4" s="2" t="s">
        <v>27</v>
      </c>
      <c r="O4" s="2" t="s">
        <v>39</v>
      </c>
    </row>
    <row r="5" spans="1:15">
      <c r="A5" s="2">
        <v>4</v>
      </c>
      <c r="B5" s="2" t="s">
        <v>50</v>
      </c>
      <c r="C5" s="2" t="s">
        <v>51</v>
      </c>
      <c r="D5" s="2" t="s">
        <v>52</v>
      </c>
      <c r="E5" s="2" t="s">
        <v>18</v>
      </c>
      <c r="F5" s="2" t="s">
        <v>53</v>
      </c>
      <c r="G5" s="2" t="s">
        <v>54</v>
      </c>
      <c r="H5" s="2" t="s">
        <v>55</v>
      </c>
      <c r="I5" s="2" t="s">
        <v>56</v>
      </c>
      <c r="J5" s="2" t="s">
        <v>57</v>
      </c>
      <c r="K5" s="2" t="s">
        <v>58</v>
      </c>
      <c r="L5" s="2" t="s">
        <v>59</v>
      </c>
      <c r="M5" s="2" t="s">
        <v>60</v>
      </c>
      <c r="N5" s="2" t="s">
        <v>27</v>
      </c>
      <c r="O5" s="2" t="s">
        <v>39</v>
      </c>
    </row>
    <row r="6" spans="1:15">
      <c r="A6" s="2">
        <v>5</v>
      </c>
      <c r="B6" s="2" t="s">
        <v>61</v>
      </c>
      <c r="C6" s="2" t="s">
        <v>62</v>
      </c>
      <c r="D6" s="2" t="s">
        <v>52</v>
      </c>
      <c r="E6" s="2" t="s">
        <v>18</v>
      </c>
      <c r="F6" s="2" t="s">
        <v>63</v>
      </c>
      <c r="G6" s="2" t="s">
        <v>64</v>
      </c>
      <c r="H6" s="2" t="s">
        <v>65</v>
      </c>
      <c r="I6" s="2" t="s">
        <v>66</v>
      </c>
      <c r="J6" s="2" t="s">
        <v>67</v>
      </c>
      <c r="K6" s="2" t="s">
        <v>68</v>
      </c>
      <c r="L6" s="2" t="s">
        <v>69</v>
      </c>
      <c r="M6" s="2" t="s">
        <v>70</v>
      </c>
      <c r="N6" s="2" t="s">
        <v>27</v>
      </c>
      <c r="O6" s="2" t="s">
        <v>39</v>
      </c>
    </row>
    <row r="7" spans="1:15">
      <c r="A7" s="2">
        <v>6</v>
      </c>
      <c r="B7" s="2" t="s">
        <v>71</v>
      </c>
      <c r="C7" s="2" t="s">
        <v>72</v>
      </c>
      <c r="D7" s="2" t="s">
        <v>73</v>
      </c>
      <c r="E7" s="2" t="s">
        <v>18</v>
      </c>
      <c r="F7" s="2" t="s">
        <v>74</v>
      </c>
      <c r="G7" s="2" t="s">
        <v>75</v>
      </c>
      <c r="H7" s="2" t="s">
        <v>76</v>
      </c>
      <c r="I7" s="2" t="s">
        <v>77</v>
      </c>
      <c r="J7" s="2" t="s">
        <v>78</v>
      </c>
      <c r="K7" s="2" t="s">
        <v>79</v>
      </c>
      <c r="L7" s="2" t="s">
        <v>80</v>
      </c>
      <c r="M7" s="2" t="s">
        <v>81</v>
      </c>
      <c r="N7" s="2" t="s">
        <v>27</v>
      </c>
      <c r="O7" s="2" t="s">
        <v>39</v>
      </c>
    </row>
    <row r="8" spans="1:15">
      <c r="A8" s="2">
        <v>7</v>
      </c>
      <c r="B8" s="2" t="s">
        <v>82</v>
      </c>
      <c r="C8" s="2" t="s">
        <v>62</v>
      </c>
      <c r="D8" s="2" t="s">
        <v>83</v>
      </c>
      <c r="E8" s="2" t="s">
        <v>18</v>
      </c>
      <c r="F8" s="2" t="s">
        <v>84</v>
      </c>
      <c r="G8" s="2" t="s">
        <v>85</v>
      </c>
      <c r="H8" s="2" t="s">
        <v>86</v>
      </c>
      <c r="I8" s="2" t="s">
        <v>87</v>
      </c>
      <c r="J8" s="2" t="s">
        <v>88</v>
      </c>
      <c r="K8" s="2" t="s">
        <v>89</v>
      </c>
      <c r="L8" s="2" t="s">
        <v>90</v>
      </c>
      <c r="M8" s="2" t="s">
        <v>91</v>
      </c>
      <c r="N8" s="2" t="s">
        <v>27</v>
      </c>
      <c r="O8" s="2" t="s">
        <v>39</v>
      </c>
    </row>
    <row r="9" spans="1:15">
      <c r="A9" s="2">
        <v>8</v>
      </c>
      <c r="B9" s="2" t="s">
        <v>92</v>
      </c>
      <c r="C9" s="2" t="s">
        <v>93</v>
      </c>
      <c r="D9" s="2" t="s">
        <v>17</v>
      </c>
      <c r="E9" s="2" t="s">
        <v>18</v>
      </c>
      <c r="F9" s="2" t="s">
        <v>94</v>
      </c>
      <c r="G9" s="2" t="s">
        <v>95</v>
      </c>
      <c r="H9" s="2"/>
      <c r="I9" s="2" t="s">
        <v>96</v>
      </c>
      <c r="J9" s="2" t="s">
        <v>97</v>
      </c>
      <c r="K9" s="2" t="s">
        <v>98</v>
      </c>
      <c r="L9" s="2" t="s">
        <v>99</v>
      </c>
      <c r="M9" s="2" t="s">
        <v>100</v>
      </c>
      <c r="N9" s="2" t="s">
        <v>27</v>
      </c>
      <c r="O9" s="2" t="s">
        <v>39</v>
      </c>
    </row>
    <row r="10" spans="1:15">
      <c r="A10" s="2">
        <v>9</v>
      </c>
      <c r="B10" s="2" t="s">
        <v>101</v>
      </c>
      <c r="C10" s="2" t="s">
        <v>102</v>
      </c>
      <c r="D10" s="2" t="s">
        <v>103</v>
      </c>
      <c r="E10" s="2" t="s">
        <v>18</v>
      </c>
      <c r="F10" s="2" t="s">
        <v>104</v>
      </c>
      <c r="G10" s="2" t="s">
        <v>105</v>
      </c>
      <c r="H10" s="2"/>
      <c r="I10" s="2" t="s">
        <v>106</v>
      </c>
      <c r="J10" s="2" t="s">
        <v>107</v>
      </c>
      <c r="K10" s="2" t="s">
        <v>108</v>
      </c>
      <c r="L10" s="2" t="s">
        <v>109</v>
      </c>
      <c r="M10" s="2" t="s">
        <v>110</v>
      </c>
      <c r="N10" s="2" t="s">
        <v>27</v>
      </c>
      <c r="O10" s="2" t="s">
        <v>39</v>
      </c>
    </row>
    <row r="11" spans="1:15">
      <c r="A11" s="2">
        <v>10</v>
      </c>
      <c r="B11" s="2" t="s">
        <v>111</v>
      </c>
      <c r="C11" s="2" t="s">
        <v>112</v>
      </c>
      <c r="D11" s="2" t="s">
        <v>113</v>
      </c>
      <c r="E11" s="2" t="s">
        <v>18</v>
      </c>
      <c r="F11" s="2" t="s">
        <v>114</v>
      </c>
      <c r="G11" s="2" t="s">
        <v>115</v>
      </c>
      <c r="H11" s="2"/>
      <c r="I11" s="2" t="s">
        <v>116</v>
      </c>
      <c r="J11" s="2" t="s">
        <v>117</v>
      </c>
      <c r="K11" s="2" t="s">
        <v>118</v>
      </c>
      <c r="L11" s="2" t="s">
        <v>119</v>
      </c>
      <c r="M11" s="2" t="s">
        <v>120</v>
      </c>
      <c r="N11" s="2" t="s">
        <v>27</v>
      </c>
      <c r="O11" s="2" t="s">
        <v>39</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2.7109375" customWidth="1"/>
    <col min="4" max="4" width="92.7109375" customWidth="1"/>
  </cols>
  <sheetData>
    <row r="1" spans="1:4">
      <c r="A1" s="1" t="s">
        <v>121</v>
      </c>
      <c r="B1" s="1" t="s">
        <v>122</v>
      </c>
      <c r="C1" s="1" t="s">
        <v>123</v>
      </c>
      <c r="D1" s="1" t="s">
        <v>124</v>
      </c>
    </row>
    <row r="2" spans="1:4">
      <c r="A2" s="2" t="s">
        <v>125</v>
      </c>
      <c r="B2" s="2" t="s">
        <v>126</v>
      </c>
      <c r="C2" s="2" t="s">
        <v>127</v>
      </c>
      <c r="D2" s="2" t="s">
        <v>128</v>
      </c>
    </row>
    <row r="3" spans="1:4">
      <c r="A3" s="2" t="s">
        <v>129</v>
      </c>
      <c r="B3" s="2" t="s">
        <v>130</v>
      </c>
      <c r="C3" s="2" t="s">
        <v>131</v>
      </c>
      <c r="D3" s="2" t="s">
        <v>132</v>
      </c>
    </row>
    <row r="4" spans="1:4">
      <c r="A4" s="2" t="s">
        <v>133</v>
      </c>
      <c r="B4" s="2" t="s">
        <v>134</v>
      </c>
      <c r="C4" s="2" t="s">
        <v>135</v>
      </c>
      <c r="D4" s="2" t="s">
        <v>136</v>
      </c>
    </row>
    <row r="5" spans="1:4">
      <c r="A5" s="2" t="s">
        <v>137</v>
      </c>
      <c r="B5" s="2" t="s">
        <v>138</v>
      </c>
      <c r="C5" s="2" t="s">
        <v>139</v>
      </c>
      <c r="D5" s="2" t="s">
        <v>140</v>
      </c>
    </row>
    <row r="6" spans="1:4">
      <c r="A6" s="2" t="s">
        <v>141</v>
      </c>
      <c r="B6" s="2" t="s">
        <v>142</v>
      </c>
      <c r="C6" s="2" t="s">
        <v>143</v>
      </c>
      <c r="D6" s="2" t="s">
        <v>144</v>
      </c>
    </row>
    <row r="7" spans="1:4">
      <c r="A7" s="2" t="s">
        <v>145</v>
      </c>
      <c r="B7" s="2" t="s">
        <v>146</v>
      </c>
      <c r="C7" s="2" t="s">
        <v>147</v>
      </c>
      <c r="D7" s="2" t="s">
        <v>148</v>
      </c>
    </row>
    <row r="8" spans="1:4">
      <c r="A8" s="2" t="s">
        <v>149</v>
      </c>
      <c r="B8" s="2" t="s">
        <v>150</v>
      </c>
      <c r="C8" s="2" t="s">
        <v>151</v>
      </c>
      <c r="D8" s="2" t="s">
        <v>152</v>
      </c>
    </row>
    <row r="9" spans="1:4">
      <c r="A9" s="2" t="s">
        <v>153</v>
      </c>
      <c r="B9" s="2" t="s">
        <v>154</v>
      </c>
      <c r="C9" s="2" t="s">
        <v>155</v>
      </c>
      <c r="D9" s="2" t="s">
        <v>156</v>
      </c>
    </row>
    <row r="10" spans="1:4">
      <c r="A10" s="2" t="s">
        <v>157</v>
      </c>
      <c r="B10" s="2" t="s">
        <v>158</v>
      </c>
      <c r="C10" s="2" t="s">
        <v>159</v>
      </c>
      <c r="D10" s="2" t="s">
        <v>160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11"/>
  <sheetViews>
    <sheetView workbookViewId="0">
      <pane ySplit="1" topLeftCell="A2" activePane="bottomLeft" state="frozen"/>
      <selection pane="bottomLeft"/>
    </sheetView>
  </sheetViews>
  <sheetFormatPr defaultRowHeight="15"/>
  <cols>
    <col min="1" max="1" width="30.7109375" customWidth="1"/>
    <col min="2" max="2" width="9.7109375" customWidth="1"/>
    <col min="3" max="3" width="30.7109375" customWidth="1"/>
    <col min="4" max="4" width="18.7109375" customWidth="1"/>
    <col min="5" max="8" width="14.7109375" customWidth="1"/>
    <col min="9" max="9" width="42.7109375" customWidth="1"/>
    <col min="10" max="10" width="18.7109375" customWidth="1"/>
    <col min="11" max="12" width="12.7109375" customWidth="1"/>
    <col min="13" max="13" width="14.7109375" customWidth="1"/>
    <col min="14" max="14" width="38.7109375" customWidth="1"/>
    <col min="15" max="15" width="10.7109375" customWidth="1"/>
    <col min="16" max="16" width="14.7109375" customWidth="1"/>
    <col min="17" max="17" width="48.7109375" customWidth="1"/>
  </cols>
  <sheetData>
    <row r="1" spans="1:17">
      <c r="A1" s="1" t="s">
        <v>161</v>
      </c>
      <c r="B1" s="1" t="s">
        <v>162</v>
      </c>
      <c r="C1" s="1" t="s">
        <v>163</v>
      </c>
      <c r="D1" s="1" t="s">
        <v>164</v>
      </c>
      <c r="E1" s="1" t="s">
        <v>165</v>
      </c>
      <c r="F1" s="1" t="s">
        <v>166</v>
      </c>
      <c r="G1" s="1" t="s">
        <v>167</v>
      </c>
      <c r="H1" s="1" t="s">
        <v>168</v>
      </c>
      <c r="I1" s="1" t="s">
        <v>169</v>
      </c>
      <c r="J1" s="1" t="s">
        <v>122</v>
      </c>
      <c r="K1" s="1" t="s">
        <v>170</v>
      </c>
      <c r="L1" s="1" t="s">
        <v>171</v>
      </c>
      <c r="M1" s="1" t="s">
        <v>172</v>
      </c>
      <c r="N1" s="1" t="s">
        <v>173</v>
      </c>
      <c r="O1" s="1" t="s">
        <v>174</v>
      </c>
      <c r="P1" s="1" t="s">
        <v>175</v>
      </c>
      <c r="Q1" s="1" t="s">
        <v>176</v>
      </c>
    </row>
    <row r="2" spans="1:17">
      <c r="A2" s="2" t="s">
        <v>15</v>
      </c>
      <c r="B2" s="2">
        <v>1</v>
      </c>
      <c r="C2" s="2" t="s">
        <v>21</v>
      </c>
      <c r="D2" s="2" t="s">
        <v>177</v>
      </c>
      <c r="E2" s="2" t="s">
        <v>178</v>
      </c>
      <c r="F2" s="2"/>
      <c r="G2" s="2"/>
      <c r="H2" s="2"/>
      <c r="I2" s="2"/>
      <c r="J2" s="2" t="s">
        <v>28</v>
      </c>
      <c r="K2" s="3">
        <v>150</v>
      </c>
      <c r="L2" s="3">
        <v>0</v>
      </c>
      <c r="M2" s="2"/>
      <c r="N2" s="2" t="s">
        <v>179</v>
      </c>
      <c r="O2" s="2"/>
      <c r="P2" s="2" t="s">
        <v>27</v>
      </c>
      <c r="Q2" s="2" t="s">
        <v>26</v>
      </c>
    </row>
    <row r="3" spans="1:17">
      <c r="A3" s="2" t="s">
        <v>29</v>
      </c>
      <c r="B3" s="2">
        <v>2</v>
      </c>
      <c r="C3" s="2" t="s">
        <v>33</v>
      </c>
      <c r="D3" s="2"/>
      <c r="E3" s="2"/>
      <c r="F3" s="2"/>
      <c r="G3" s="2"/>
      <c r="H3" s="2"/>
      <c r="I3" s="2"/>
      <c r="J3" s="2" t="s">
        <v>39</v>
      </c>
      <c r="K3" s="3">
        <v>150</v>
      </c>
      <c r="L3" s="3">
        <v>0</v>
      </c>
      <c r="M3" s="2"/>
      <c r="N3" s="2"/>
      <c r="O3" s="2"/>
      <c r="P3" s="2" t="s">
        <v>27</v>
      </c>
      <c r="Q3" s="2" t="s">
        <v>38</v>
      </c>
    </row>
    <row r="4" spans="1:17">
      <c r="A4" s="2" t="s">
        <v>40</v>
      </c>
      <c r="B4" s="2">
        <v>3</v>
      </c>
      <c r="C4" s="2" t="s">
        <v>44</v>
      </c>
      <c r="D4" s="2"/>
      <c r="E4" s="2"/>
      <c r="F4" s="2"/>
      <c r="G4" s="2"/>
      <c r="H4" s="2"/>
      <c r="I4" s="2"/>
      <c r="J4" s="2" t="s">
        <v>39</v>
      </c>
      <c r="K4" s="3">
        <v>150</v>
      </c>
      <c r="L4" s="3">
        <v>0</v>
      </c>
      <c r="M4" s="2"/>
      <c r="N4" s="2"/>
      <c r="O4" s="2"/>
      <c r="P4" s="2" t="s">
        <v>27</v>
      </c>
      <c r="Q4" s="2" t="s">
        <v>49</v>
      </c>
    </row>
    <row r="5" spans="1:17">
      <c r="A5" s="2" t="s">
        <v>50</v>
      </c>
      <c r="B5" s="2">
        <v>4</v>
      </c>
      <c r="C5" s="2" t="s">
        <v>55</v>
      </c>
      <c r="D5" s="2"/>
      <c r="E5" s="2"/>
      <c r="F5" s="2"/>
      <c r="G5" s="2"/>
      <c r="H5" s="2"/>
      <c r="I5" s="2"/>
      <c r="J5" s="2" t="s">
        <v>39</v>
      </c>
      <c r="K5" s="3">
        <v>150</v>
      </c>
      <c r="L5" s="3">
        <v>0</v>
      </c>
      <c r="M5" s="2"/>
      <c r="N5" s="2"/>
      <c r="O5" s="2"/>
      <c r="P5" s="2" t="s">
        <v>27</v>
      </c>
      <c r="Q5" s="2" t="s">
        <v>60</v>
      </c>
    </row>
    <row r="6" spans="1:17">
      <c r="A6" s="2" t="s">
        <v>61</v>
      </c>
      <c r="B6" s="2">
        <v>5</v>
      </c>
      <c r="C6" s="2" t="s">
        <v>65</v>
      </c>
      <c r="D6" s="2"/>
      <c r="E6" s="2"/>
      <c r="F6" s="2"/>
      <c r="G6" s="2"/>
      <c r="H6" s="2"/>
      <c r="I6" s="2"/>
      <c r="J6" s="2" t="s">
        <v>39</v>
      </c>
      <c r="K6" s="3">
        <v>150</v>
      </c>
      <c r="L6" s="3">
        <v>0</v>
      </c>
      <c r="M6" s="2"/>
      <c r="N6" s="2"/>
      <c r="O6" s="2"/>
      <c r="P6" s="2" t="s">
        <v>27</v>
      </c>
      <c r="Q6" s="2" t="s">
        <v>70</v>
      </c>
    </row>
    <row r="7" spans="1:17">
      <c r="A7" s="2" t="s">
        <v>71</v>
      </c>
      <c r="B7" s="2">
        <v>6</v>
      </c>
      <c r="C7" s="2" t="s">
        <v>76</v>
      </c>
      <c r="D7" s="2"/>
      <c r="E7" s="2"/>
      <c r="F7" s="2"/>
      <c r="G7" s="2"/>
      <c r="H7" s="2"/>
      <c r="I7" s="2"/>
      <c r="J7" s="2" t="s">
        <v>39</v>
      </c>
      <c r="K7" s="3">
        <v>150</v>
      </c>
      <c r="L7" s="3">
        <v>0</v>
      </c>
      <c r="M7" s="2"/>
      <c r="N7" s="2"/>
      <c r="O7" s="2"/>
      <c r="P7" s="2" t="s">
        <v>27</v>
      </c>
      <c r="Q7" s="2" t="s">
        <v>81</v>
      </c>
    </row>
    <row r="8" spans="1:17">
      <c r="A8" s="2" t="s">
        <v>82</v>
      </c>
      <c r="B8" s="2">
        <v>7</v>
      </c>
      <c r="C8" s="2" t="s">
        <v>86</v>
      </c>
      <c r="D8" s="2"/>
      <c r="E8" s="2"/>
      <c r="F8" s="2"/>
      <c r="G8" s="2"/>
      <c r="H8" s="2"/>
      <c r="I8" s="2"/>
      <c r="J8" s="2" t="s">
        <v>39</v>
      </c>
      <c r="K8" s="3">
        <v>150</v>
      </c>
      <c r="L8" s="3">
        <v>0</v>
      </c>
      <c r="M8" s="2"/>
      <c r="N8" s="2"/>
      <c r="O8" s="2"/>
      <c r="P8" s="2" t="s">
        <v>27</v>
      </c>
      <c r="Q8" s="2" t="s">
        <v>91</v>
      </c>
    </row>
    <row r="9" spans="1:17">
      <c r="A9" s="2" t="s">
        <v>92</v>
      </c>
      <c r="B9" s="2">
        <v>8</v>
      </c>
      <c r="C9" s="2" t="s">
        <v>95</v>
      </c>
      <c r="D9" s="2"/>
      <c r="E9" s="2"/>
      <c r="F9" s="2"/>
      <c r="G9" s="2"/>
      <c r="H9" s="2"/>
      <c r="I9" s="2"/>
      <c r="J9" s="2" t="s">
        <v>39</v>
      </c>
      <c r="K9" s="3">
        <v>150</v>
      </c>
      <c r="L9" s="3">
        <v>0</v>
      </c>
      <c r="M9" s="2"/>
      <c r="N9" s="2"/>
      <c r="O9" s="2"/>
      <c r="P9" s="2" t="s">
        <v>27</v>
      </c>
      <c r="Q9" s="2" t="s">
        <v>100</v>
      </c>
    </row>
    <row r="10" spans="1:17">
      <c r="A10" s="2" t="s">
        <v>101</v>
      </c>
      <c r="B10" s="2">
        <v>9</v>
      </c>
      <c r="C10" s="2" t="s">
        <v>105</v>
      </c>
      <c r="D10" s="2"/>
      <c r="E10" s="2"/>
      <c r="F10" s="2"/>
      <c r="G10" s="2"/>
      <c r="H10" s="2"/>
      <c r="I10" s="2"/>
      <c r="J10" s="2" t="s">
        <v>39</v>
      </c>
      <c r="K10" s="3">
        <v>150</v>
      </c>
      <c r="L10" s="3">
        <v>0</v>
      </c>
      <c r="M10" s="2"/>
      <c r="N10" s="2"/>
      <c r="O10" s="2"/>
      <c r="P10" s="2" t="s">
        <v>27</v>
      </c>
      <c r="Q10" s="2" t="s">
        <v>110</v>
      </c>
    </row>
    <row r="11" spans="1:17">
      <c r="A11" s="2" t="s">
        <v>111</v>
      </c>
      <c r="B11" s="2">
        <v>10</v>
      </c>
      <c r="C11" s="2" t="s">
        <v>115</v>
      </c>
      <c r="D11" s="2"/>
      <c r="E11" s="2"/>
      <c r="F11" s="2"/>
      <c r="G11" s="2"/>
      <c r="H11" s="2"/>
      <c r="I11" s="2"/>
      <c r="J11" s="2" t="s">
        <v>39</v>
      </c>
      <c r="K11" s="3">
        <v>150</v>
      </c>
      <c r="L11" s="3">
        <v>0</v>
      </c>
      <c r="M11" s="2"/>
      <c r="N11" s="2"/>
      <c r="O11" s="2"/>
      <c r="P11" s="2" t="s">
        <v>27</v>
      </c>
      <c r="Q11" s="2" t="s">
        <v>120</v>
      </c>
    </row>
  </sheetData>
  <autoFilter ref="A1:Q11"/>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1"/>
  <sheetViews>
    <sheetView workbookViewId="0">
      <pane ySplit="1" topLeftCell="A2" activePane="bottomLeft" state="frozen"/>
      <selection pane="bottomLeft"/>
    </sheetView>
  </sheetViews>
  <sheetFormatPr defaultRowHeight="15"/>
  <cols>
    <col min="1" max="1" width="32.7109375" customWidth="1"/>
    <col min="2" max="8" width="22.7109375" customWidth="1"/>
  </cols>
  <sheetData>
    <row r="1" spans="1:8">
      <c r="A1" s="4" t="s">
        <v>1</v>
      </c>
      <c r="B1" s="4" t="s">
        <v>122</v>
      </c>
      <c r="C1" s="4" t="s">
        <v>164</v>
      </c>
      <c r="D1" s="4" t="s">
        <v>169</v>
      </c>
      <c r="E1" s="4" t="s">
        <v>170</v>
      </c>
      <c r="F1" s="4" t="s">
        <v>171</v>
      </c>
      <c r="G1" s="4" t="s">
        <v>180</v>
      </c>
      <c r="H1" s="4" t="s">
        <v>174</v>
      </c>
    </row>
    <row r="2" spans="1:8">
      <c r="A2" s="2" t="s">
        <v>181</v>
      </c>
      <c r="B2" s="2" t="s">
        <v>39</v>
      </c>
      <c r="C2" s="2"/>
      <c r="D2" s="2"/>
      <c r="E2" s="3">
        <v>150</v>
      </c>
      <c r="F2" s="3">
        <v>0</v>
      </c>
      <c r="G2" s="2" t="s">
        <v>182</v>
      </c>
      <c r="H2" s="2"/>
    </row>
    <row r="3" spans="1:8">
      <c r="A3" s="2" t="s">
        <v>183</v>
      </c>
      <c r="B3" s="2" t="s">
        <v>39</v>
      </c>
      <c r="C3" s="2"/>
      <c r="D3" s="2"/>
      <c r="E3" s="3">
        <v>150</v>
      </c>
      <c r="F3" s="3">
        <v>0</v>
      </c>
      <c r="G3" s="2" t="s">
        <v>182</v>
      </c>
      <c r="H3" s="2"/>
    </row>
    <row r="4" spans="1:8">
      <c r="A4" s="2" t="s">
        <v>184</v>
      </c>
      <c r="B4" s="2" t="s">
        <v>39</v>
      </c>
      <c r="C4" s="2"/>
      <c r="D4" s="2"/>
      <c r="E4" s="3">
        <v>150</v>
      </c>
      <c r="F4" s="3">
        <v>0</v>
      </c>
      <c r="G4" s="2" t="s">
        <v>182</v>
      </c>
      <c r="H4" s="2"/>
    </row>
    <row r="5" spans="1:8">
      <c r="A5" s="2" t="s">
        <v>185</v>
      </c>
      <c r="B5" s="2" t="s">
        <v>39</v>
      </c>
      <c r="C5" s="2"/>
      <c r="D5" s="2"/>
      <c r="E5" s="3">
        <v>150</v>
      </c>
      <c r="F5" s="3">
        <v>0</v>
      </c>
      <c r="G5" s="2" t="s">
        <v>182</v>
      </c>
      <c r="H5" s="2"/>
    </row>
    <row r="6" spans="1:8">
      <c r="A6" s="2" t="s">
        <v>186</v>
      </c>
      <c r="B6" s="2" t="s">
        <v>39</v>
      </c>
      <c r="C6" s="2"/>
      <c r="D6" s="2"/>
      <c r="E6" s="3">
        <v>150</v>
      </c>
      <c r="F6" s="3">
        <v>0</v>
      </c>
      <c r="G6" s="2" t="s">
        <v>182</v>
      </c>
      <c r="H6" s="2"/>
    </row>
    <row r="7" spans="1:8">
      <c r="A7" s="2" t="s">
        <v>187</v>
      </c>
      <c r="B7" s="2" t="s">
        <v>39</v>
      </c>
      <c r="C7" s="2"/>
      <c r="D7" s="2"/>
      <c r="E7" s="3">
        <v>150</v>
      </c>
      <c r="F7" s="3">
        <v>0</v>
      </c>
      <c r="G7" s="2" t="s">
        <v>182</v>
      </c>
      <c r="H7" s="2"/>
    </row>
    <row r="8" spans="1:8">
      <c r="A8" s="2" t="s">
        <v>188</v>
      </c>
      <c r="B8" s="2" t="s">
        <v>39</v>
      </c>
      <c r="C8" s="2"/>
      <c r="D8" s="2"/>
      <c r="E8" s="3">
        <v>150</v>
      </c>
      <c r="F8" s="3">
        <v>0</v>
      </c>
      <c r="G8" s="2" t="s">
        <v>27</v>
      </c>
      <c r="H8" s="2"/>
    </row>
    <row r="9" spans="1:8">
      <c r="A9" s="2" t="s">
        <v>189</v>
      </c>
      <c r="B9" s="2" t="s">
        <v>39</v>
      </c>
      <c r="C9" s="2"/>
      <c r="D9" s="2"/>
      <c r="E9" s="3">
        <v>150</v>
      </c>
      <c r="F9" s="3">
        <v>0</v>
      </c>
      <c r="G9" s="2" t="s">
        <v>27</v>
      </c>
      <c r="H9" s="2"/>
    </row>
    <row r="10" spans="1:8">
      <c r="A10" s="2" t="s">
        <v>190</v>
      </c>
      <c r="B10" s="2" t="s">
        <v>39</v>
      </c>
      <c r="C10" s="2"/>
      <c r="D10" s="2"/>
      <c r="E10" s="3">
        <v>150</v>
      </c>
      <c r="F10" s="3">
        <v>0</v>
      </c>
      <c r="G10" s="2" t="s">
        <v>27</v>
      </c>
      <c r="H10" s="2"/>
    </row>
    <row r="11" spans="1:8">
      <c r="A11" s="2" t="s">
        <v>191</v>
      </c>
      <c r="B11" s="2" t="s">
        <v>39</v>
      </c>
      <c r="C11" s="2"/>
      <c r="D11" s="2"/>
      <c r="E11" s="3">
        <v>150</v>
      </c>
      <c r="F11" s="3">
        <v>0</v>
      </c>
      <c r="G11" s="2" t="s">
        <v>27</v>
      </c>
      <c r="H1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1"/>
  <sheetViews>
    <sheetView workbookViewId="0">
      <pane ySplit="1" topLeftCell="A2" activePane="bottomLeft" state="frozen"/>
      <selection pane="bottomLeft"/>
    </sheetView>
  </sheetViews>
  <sheetFormatPr defaultRowHeight="15"/>
  <cols>
    <col min="1" max="1" width="32.7109375" customWidth="1"/>
    <col min="2" max="2" width="58.7109375" customWidth="1"/>
    <col min="3" max="3" width="50.7109375" customWidth="1"/>
    <col min="4" max="4" width="14.7109375" customWidth="1"/>
    <col min="5" max="5" width="54.7109375" customWidth="1"/>
  </cols>
  <sheetData>
    <row r="1" spans="1:5">
      <c r="A1" s="1" t="s">
        <v>1</v>
      </c>
      <c r="B1" s="1" t="s">
        <v>5</v>
      </c>
      <c r="C1" s="1" t="s">
        <v>12</v>
      </c>
      <c r="D1" s="1" t="s">
        <v>192</v>
      </c>
      <c r="E1" s="1" t="s">
        <v>193</v>
      </c>
    </row>
    <row r="2" spans="1:5">
      <c r="A2" s="2" t="s">
        <v>15</v>
      </c>
      <c r="B2" s="2" t="s">
        <v>19</v>
      </c>
      <c r="C2" s="2" t="s">
        <v>26</v>
      </c>
      <c r="D2" s="2" t="s">
        <v>27</v>
      </c>
      <c r="E2" s="2" t="s">
        <v>194</v>
      </c>
    </row>
    <row r="3" spans="1:5">
      <c r="A3" s="2" t="s">
        <v>29</v>
      </c>
      <c r="B3" s="2" t="s">
        <v>31</v>
      </c>
      <c r="C3" s="2" t="s">
        <v>38</v>
      </c>
      <c r="D3" s="2" t="s">
        <v>27</v>
      </c>
      <c r="E3" s="2" t="s">
        <v>194</v>
      </c>
    </row>
    <row r="4" spans="1:5">
      <c r="A4" s="2" t="s">
        <v>40</v>
      </c>
      <c r="B4" s="2" t="s">
        <v>42</v>
      </c>
      <c r="C4" s="2" t="s">
        <v>49</v>
      </c>
      <c r="D4" s="2" t="s">
        <v>27</v>
      </c>
      <c r="E4" s="2" t="s">
        <v>194</v>
      </c>
    </row>
    <row r="5" spans="1:5">
      <c r="A5" s="2" t="s">
        <v>50</v>
      </c>
      <c r="B5" s="2" t="s">
        <v>53</v>
      </c>
      <c r="C5" s="2" t="s">
        <v>60</v>
      </c>
      <c r="D5" s="2" t="s">
        <v>27</v>
      </c>
      <c r="E5" s="2" t="s">
        <v>194</v>
      </c>
    </row>
    <row r="6" spans="1:5">
      <c r="A6" s="2" t="s">
        <v>61</v>
      </c>
      <c r="B6" s="2" t="s">
        <v>63</v>
      </c>
      <c r="C6" s="2" t="s">
        <v>70</v>
      </c>
      <c r="D6" s="2" t="s">
        <v>27</v>
      </c>
      <c r="E6" s="2" t="s">
        <v>194</v>
      </c>
    </row>
    <row r="7" spans="1:5">
      <c r="A7" s="2" t="s">
        <v>71</v>
      </c>
      <c r="B7" s="2" t="s">
        <v>74</v>
      </c>
      <c r="C7" s="2" t="s">
        <v>81</v>
      </c>
      <c r="D7" s="2" t="s">
        <v>27</v>
      </c>
      <c r="E7" s="2" t="s">
        <v>194</v>
      </c>
    </row>
    <row r="8" spans="1:5">
      <c r="A8" s="2" t="s">
        <v>82</v>
      </c>
      <c r="B8" s="2" t="s">
        <v>84</v>
      </c>
      <c r="C8" s="2" t="s">
        <v>91</v>
      </c>
      <c r="D8" s="2" t="s">
        <v>27</v>
      </c>
      <c r="E8" s="2" t="s">
        <v>194</v>
      </c>
    </row>
    <row r="9" spans="1:5">
      <c r="A9" s="2" t="s">
        <v>92</v>
      </c>
      <c r="B9" s="2" t="s">
        <v>94</v>
      </c>
      <c r="C9" s="2" t="s">
        <v>100</v>
      </c>
      <c r="D9" s="2" t="s">
        <v>27</v>
      </c>
      <c r="E9" s="2" t="s">
        <v>194</v>
      </c>
    </row>
    <row r="10" spans="1:5">
      <c r="A10" s="2" t="s">
        <v>101</v>
      </c>
      <c r="B10" s="2" t="s">
        <v>104</v>
      </c>
      <c r="C10" s="2" t="s">
        <v>110</v>
      </c>
      <c r="D10" s="2" t="s">
        <v>27</v>
      </c>
      <c r="E10" s="2" t="s">
        <v>194</v>
      </c>
    </row>
    <row r="11" spans="1:5">
      <c r="A11" s="2" t="s">
        <v>111</v>
      </c>
      <c r="B11" s="2" t="s">
        <v>114</v>
      </c>
      <c r="C11" s="2" t="s">
        <v>120</v>
      </c>
      <c r="D11" s="2" t="s">
        <v>27</v>
      </c>
      <c r="E11" s="2" t="s">
        <v>194</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9"/>
  <sheetViews>
    <sheetView workbookViewId="0"/>
  </sheetViews>
  <sheetFormatPr defaultRowHeight="15"/>
  <cols>
    <col min="1" max="1" width="20.7109375" customWidth="1"/>
    <col min="2" max="2" width="14.7109375" customWidth="1"/>
    <col min="3" max="3" width="4.7109375" customWidth="1"/>
    <col min="4" max="4" width="22.7109375" customWidth="1"/>
    <col min="5" max="5" width="16.7109375" customWidth="1"/>
  </cols>
  <sheetData>
    <row r="1" spans="1:5" ht="28" customHeight="1">
      <c r="A1" s="5" t="s">
        <v>195</v>
      </c>
      <c r="B1" s="5"/>
      <c r="C1" s="5"/>
      <c r="D1" s="5"/>
      <c r="E1" s="5"/>
    </row>
    <row r="3" spans="1:5">
      <c r="A3" s="1" t="s">
        <v>196</v>
      </c>
      <c r="B3" s="1" t="s">
        <v>197</v>
      </c>
      <c r="C3" s="2"/>
      <c r="D3" s="1" t="s">
        <v>198</v>
      </c>
      <c r="E3" s="1" t="s">
        <v>197</v>
      </c>
    </row>
    <row r="4" spans="1:5">
      <c r="A4" s="2" t="s">
        <v>39</v>
      </c>
      <c r="B4" s="2">
        <f>COUNTIF(Pipeline!J:J,"Contact Ready")</f>
        <v>0</v>
      </c>
      <c r="D4" s="2" t="s">
        <v>202</v>
      </c>
      <c r="E4" s="3">
        <f>SUM(Pipeline!K:K)</f>
        <v>0</v>
      </c>
    </row>
    <row r="5" spans="1:5">
      <c r="A5" s="2" t="s">
        <v>28</v>
      </c>
      <c r="B5" s="2">
        <f>COUNTIF(Pipeline!J:J,"Contacted")</f>
        <v>0</v>
      </c>
      <c r="D5" s="2" t="s">
        <v>203</v>
      </c>
      <c r="E5" s="3">
        <f>SUM(Pipeline!L:L)</f>
        <v>0</v>
      </c>
    </row>
    <row r="6" spans="1:5">
      <c r="A6" s="2" t="s">
        <v>199</v>
      </c>
      <c r="B6" s="2">
        <f>COUNTIF(Pipeline!J:J,"Replied")</f>
        <v>0</v>
      </c>
      <c r="D6" s="2" t="s">
        <v>204</v>
      </c>
      <c r="E6" s="6">
        <f>IFERROR(COUNTIF(Pipeline!J:J,"Replied")/COUNTIF(Pipeline!D:D,"&lt;&gt;"),0)</f>
        <v>0</v>
      </c>
    </row>
    <row r="7" spans="1:5">
      <c r="A7" s="2" t="s">
        <v>200</v>
      </c>
      <c r="B7" s="2">
        <f>COUNTIF(Pipeline!J:J,"Negotiating")</f>
        <v>0</v>
      </c>
      <c r="D7" s="2" t="s">
        <v>205</v>
      </c>
      <c r="E7" s="6">
        <f>IFERROR(COUNTIF(Pipeline!J:J,"Won/Paid")/COUNTIF(Pipeline!D:D,"&lt;&gt;"),0)</f>
        <v>0</v>
      </c>
    </row>
    <row r="8" spans="1:5">
      <c r="A8" s="2" t="s">
        <v>201</v>
      </c>
      <c r="B8" s="2">
        <f>COUNTIF(Pipeline!J:J,"Won/Paid")</f>
        <v>0</v>
      </c>
    </row>
    <row r="9" spans="1:5">
      <c r="A9" s="2" t="s">
        <v>172</v>
      </c>
      <c r="B9" s="2">
        <f>COUNTIF(Pipeline!J:J,"Fulfilled")</f>
        <v>0</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11"/>
  <sheetViews>
    <sheetView workbookViewId="0"/>
  </sheetViews>
  <sheetFormatPr defaultRowHeight="15"/>
  <cols>
    <col min="1" max="1" width="28.7109375" customWidth="1"/>
    <col min="2" max="2" width="92.7109375" customWidth="1"/>
  </cols>
  <sheetData>
    <row r="1" spans="1:2">
      <c r="A1" s="1" t="s">
        <v>206</v>
      </c>
      <c r="B1" s="1" t="s">
        <v>207</v>
      </c>
    </row>
    <row r="2" spans="1:2">
      <c r="A2" s="2" t="s">
        <v>208</v>
      </c>
      <c r="B2" s="2" t="s">
        <v>209</v>
      </c>
    </row>
    <row r="3" spans="1:2">
      <c r="A3" s="2" t="s">
        <v>210</v>
      </c>
      <c r="B3" s="2" t="s">
        <v>211</v>
      </c>
    </row>
    <row r="4" spans="1:2">
      <c r="A4" s="2" t="s">
        <v>212</v>
      </c>
      <c r="B4" s="2" t="s">
        <v>213</v>
      </c>
    </row>
    <row r="5" spans="1:2">
      <c r="A5" s="2" t="s">
        <v>214</v>
      </c>
      <c r="B5" s="2" t="s">
        <v>215</v>
      </c>
    </row>
    <row r="6" spans="1:2">
      <c r="A6" s="2" t="s">
        <v>216</v>
      </c>
      <c r="B6" s="2" t="s">
        <v>217</v>
      </c>
    </row>
    <row r="7" spans="1:2">
      <c r="A7" s="2" t="s">
        <v>218</v>
      </c>
      <c r="B7" s="2" t="s">
        <v>219</v>
      </c>
    </row>
    <row r="8" spans="1:2">
      <c r="A8" s="2" t="s">
        <v>220</v>
      </c>
      <c r="B8" s="2" t="s">
        <v>221</v>
      </c>
    </row>
    <row r="9" spans="1:2">
      <c r="A9" s="2" t="s">
        <v>222</v>
      </c>
      <c r="B9" s="2" t="s">
        <v>223</v>
      </c>
    </row>
    <row r="10" spans="1:2">
      <c r="A10" s="2" t="s">
        <v>224</v>
      </c>
      <c r="B10" s="2" t="s">
        <v>225</v>
      </c>
    </row>
    <row r="11" spans="1:2">
      <c r="A11" s="2" t="s">
        <v>226</v>
      </c>
      <c r="B11" s="2" t="s">
        <v>227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18.7109375" customWidth="1"/>
    <col min="5" max="5" width="78.7109375" customWidth="1"/>
  </cols>
  <sheetData>
    <row r="1" spans="1:5">
      <c r="A1" s="1" t="s">
        <v>228</v>
      </c>
      <c r="B1" s="1" t="s">
        <v>229</v>
      </c>
      <c r="C1" s="1" t="s">
        <v>230</v>
      </c>
      <c r="D1" s="1" t="s">
        <v>231</v>
      </c>
      <c r="E1" s="1" t="s">
        <v>232</v>
      </c>
    </row>
    <row r="2" spans="1:5">
      <c r="A2" s="2" t="s">
        <v>27</v>
      </c>
      <c r="B2" s="2" t="s">
        <v>27</v>
      </c>
      <c r="C2" s="2">
        <v>10</v>
      </c>
      <c r="D2" s="2">
        <v>10</v>
      </c>
      <c r="E2" s="2" t="s">
        <v>233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Priority Leads</vt:lpstr>
      <vt:lpstr>Scripts</vt:lpstr>
      <vt:lpstr>Pipeline</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2026-09-07T20:35:32Z</dcterms:created>
  <dcterms:modified xsi:type="dcterms:W3CDTF">2026-09-07T20:35:32Z</dcterms:modified>
</cp:coreProperties>
</file>