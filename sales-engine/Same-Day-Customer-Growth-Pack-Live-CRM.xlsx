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iority Leads" sheetId="1" r:id="rId1"/>
    <sheet name="Scripts" sheetId="2" r:id="rId2"/>
    <sheet name="Pipeline" sheetId="3" r:id="rId3"/>
    <sheet name="Archived Leads" sheetId="4" r:id="rId4"/>
    <sheet name="Sources" sheetId="5" r:id="rId5"/>
    <sheet name="Dashboard" sheetId="6" r:id="rId6"/>
    <sheet name="Update Rules" sheetId="7" r:id="rId7"/>
    <sheet name="Refresh Log" sheetId="8" r:id="rId8"/>
  </sheets>
  <definedNames>
    <definedName name="_xlnm._FilterDatabase" localSheetId="2" hidden="1">Pipeline!$A$1:$Q$11</definedName>
    <definedName name="_xlnm._FilterDatabase" localSheetId="0" hidden="1">'Priority Leads'!$A$1:$O$11</definedName>
  </definedNames>
  <calcPr calcId="124519" fullCalcOnLoad="1"/>
</workbook>
</file>

<file path=xl/sharedStrings.xml><?xml version="1.0" encoding="utf-8"?>
<sst xmlns="http://schemas.openxmlformats.org/spreadsheetml/2006/main" count="401" uniqueCount="236">
  <si>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</si>
  <si>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</si>
  <si>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</si>
  <si>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</si>
  <si>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</si>
  <si>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</si>
  <si>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</si>
  <si>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</si>
  <si>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</si>
  <si>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</si>
  <si>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</si>
  <si>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</si>
  <si>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</si>
  <si>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</si>
  <si>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</si>
  <si>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FloodDry Water Damage Restoration</t>
  </si>
  <si>
    <t>Water / Mold / Fire Restoration</t>
  </si>
  <si>
    <t>San Jose, CA</t>
  </si>
  <si>
    <t>A</t>
  </si>
  <si>
    <t>Official pages are current today: 24/7 emergency response, free inspections, roughly 45-minute response in many San Jose ZIP codes, direct email service@flooddrywdr.com, claim-ready documentation, and fresh customer reviews posted 3 and 5 days ago.</t>
  </si>
  <si>
    <t>(408) 404-4000</t>
  </si>
  <si>
    <t>service@flooddrywdr.com</t>
  </si>
  <si>
    <t>24/7; direct email; real-person response; fresh customer activity</t>
  </si>
  <si>
    <t>Translate hidden moisture, drying logs and insurance documentation into urgent plain-English education.</t>
  </si>
  <si>
    <t>Customer-education idea for FloodDry’s free inspection</t>
  </si>
  <si>
    <t>Hi — I checked FloodDry’s current San Jose service process today and noticed you’re still offering 24/7 response and free inspections.
I think there’s a strong customer-education angle inside your existing process:
“The floor can look dry while moisture is still inside the structure.”
Your moisture readings, drying logs and insurance documentation already support that story. I’d turn it into emergency Google/social posts, homeowner FAQs, inspection follow-ups, insurance-documentation reminders and genuine review-request copy.
Same-Day Customer Growth Pack: $150 flat, no subscription.
Want me to send two FloodDry-specific examples first?</t>
  </si>
  <si>
    <t>https://flooddrywdr.com/water-damage-restoration-san-jose/</t>
  </si>
  <si>
    <t>2026-09-08</t>
  </si>
  <si>
    <t>Contact Ready</t>
  </si>
  <si>
    <t>Leader Restoration</t>
  </si>
  <si>
    <t>Mold / Water / Fire Restoration</t>
  </si>
  <si>
    <t>The September 2026 FREE mold inspection remains live through Sep 30. The official campaign publishes 24/7 emergency response, a 60-minute arrival target, direct email service@leaderestoration.com, and a San Jose office.</t>
  </si>
  <si>
    <t>(408) 868-2433</t>
  </si>
  <si>
    <t>service@leaderestoration.com</t>
  </si>
  <si>
    <t>24/7; direct email; active Sep 30 deadline</t>
  </si>
  <si>
    <t>Use the expiring September inspection as customer education about hidden moisture and mold risk.</t>
  </si>
  <si>
    <t>2 ideas for your September mold-inspection campaign</t>
  </si>
  <si>
    <t>Hi — I checked your September mold campaign again today and saw the free inspection is still live through September 30.
I think the strongest customer-facing angle is:
“You don’t need visible mold to have a moisture problem worth investigating.”
I’d turn that into a complete September campaign: Google/social posts, homeowner FAQs, inspection reminders, customer follow-ups and genuine review-request copy.
Same-Day Customer Growth Pack: $150 flat, no subscription.
I already drafted two Leader-specific examples. Want me to send them?</t>
  </si>
  <si>
    <t>https://call.leaderestoration.com/mold-408</t>
  </si>
  <si>
    <t>FairPrice Heating &amp; Cooling</t>
  </si>
  <si>
    <t>HVAC / Insulation / Indoor Air Quality</t>
  </si>
  <si>
    <t>Santa Clara / San Jose area, CA</t>
  </si>
  <si>
    <t>Official pages currently publish 24/7 availability, direct email info@fairpriceheatingandcooling.com, a $299 air-duct-cleaning offer, and Hello Fall September specials expiring Sep 30, 2026.</t>
  </si>
  <si>
    <t>(669) 282-6453</t>
  </si>
  <si>
    <t>info@fairpriceheatingandcooling.com</t>
  </si>
  <si>
    <t>24/7; direct email; active September specials</t>
  </si>
  <si>
    <t>Turn the expiring September specials into a cross-service comfort + airflow + indoor-air-quality campaign.</t>
  </si>
  <si>
    <t>2 ideas for FairPrice’s September specials</t>
  </si>
  <si>
    <t>Hi — I checked FairPrice’s current site today and saw the September specials are still live through September 30, including the $299 air-duct-cleaning offer.
I think there’s a stronger campaign than simply repeating the coupon:
“Use the fall service visit to solve comfort, airflow and indoor-air-quality problems together.”
I’d turn that into Google/social posts, FAQs, offer reminders, customer follow-ups and genuine review-request copy.
Same-Day Customer Growth Pack: $150 flat, no subscription.
Want two FairPrice-specific examples first?</t>
  </si>
  <si>
    <t>https://fairpriceheatingandcooling.com/</t>
  </si>
  <si>
    <t>Dansel Restoration</t>
  </si>
  <si>
    <t>Water / Fire / Mold / Reconstruction</t>
  </si>
  <si>
    <t>San Jose / Fremont, CA</t>
  </si>
  <si>
    <t>New high-priority lead: official pages publish 24/7 emergency response, direct email help@danselrestoration.com, free assessments, same-day mold response, insurance assistance, in-house mitigation plus reconstruction, and a promise to reach out within the hour on its main contact flow.</t>
  </si>
  <si>
    <t>(408) 564-0152</t>
  </si>
  <si>
    <t>help@danselrestoration.com</t>
  </si>
  <si>
    <t>24/7; direct email; published within-hour callback</t>
  </si>
  <si>
    <t>Turn its mitigation-to-reconstruction continuity and free assessment into a first-hour emergency decision campaign.</t>
  </si>
  <si>
    <t>First-hour restoration campaign idea for Dansel</t>
  </si>
  <si>
    <t>Hi — I reviewed Dansel’s current San Jose restoration pages today and noticed you handle both emergency mitigation and reconstruction in-house, with a free assessment and 24/7 response.
That gives you a strong customer message:
“The first hour is about stopping the damage. The next steps should not require starting over with another contractor.”
I’d turn that into a first-hour emergency checklist, water/mold FAQs, insurance-assistance messaging, follow-ups and genuine review-request copy.
Same-Day Customer Growth Pack: $150 flat.
Want two Dansel-specific examples first?</t>
  </si>
  <si>
    <t>https://danselrestoration.com/</t>
  </si>
  <si>
    <t>The Roofer Bros</t>
  </si>
  <si>
    <t>Roofing / Home Improvement</t>
  </si>
  <si>
    <t>Bay Area / San Jose, CA</t>
  </si>
  <si>
    <t>Official Bay Area page is current today with direct email contact@therooferbros.com, a 5-minute response claim, same-day estimate CTA, free inspections, financing from $149/month, often same-day financing approvals, and a current 10%-off roof-replacement special.</t>
  </si>
  <si>
    <t>(669) 369-3181</t>
  </si>
  <si>
    <t>contact@therooferbros.com</t>
  </si>
  <si>
    <t>Direct email; published 5-minute response; same-day estimate CTA</t>
  </si>
  <si>
    <t>Turn fast response + free inspection + financing into a low-friction roof-decision campaign.</t>
  </si>
  <si>
    <t>Idea for your 5-minute roofing response funnel</t>
  </si>
  <si>
    <t>Hi — I reviewed The Roofer Bros’ Bay Area page today and your strongest sales story may be the speed of the decision path itself:
“Fast response, free inspection, real scope, then financing if the project needs it.”
I’d turn that into inspection posts, financing FAQs, same-day estimate follow-ups, repair-vs-replacement education and genuine review-request copy.
Same-Day Customer Growth Pack: $150 flat.
Want two Roofer Bros-specific examples first?</t>
  </si>
  <si>
    <t>https://bay-area.therooferbros.com/</t>
  </si>
  <si>
    <t>Roof By Tom</t>
  </si>
  <si>
    <t>Roofing</t>
  </si>
  <si>
    <t>Official pages remain current: free written estimates, same-day leak help when available, direct email roofbytom@gmail.com, same-day callbacks on most estimate requests, and financing up to 100% of qualifying replacement projects with same-day approvals.</t>
  </si>
  <si>
    <t>(925) 488-1882</t>
  </si>
  <si>
    <t>roofbytom@gmail.com</t>
  </si>
  <si>
    <t>Direct email; same-day callbacks on most estimate requests</t>
  </si>
  <si>
    <t>Use the inspection → written scope → repair/replacement/financing decision path to reduce uncertainty.</t>
  </si>
  <si>
    <t>Idea for Roof By Tom’s same-day estimate flow</t>
  </si>
  <si>
    <t>Hi — I checked Roof By Tom’s current estimate and financing pages today and noticed you emphasize same-day callbacks on most estimate requests.
Campaign angle:
“First find out exactly what the roof needs. Then decide whether repair, replacement or financing makes sense.”
I’d turn that into leak-response posts, repair-vs-replacement FAQs, estimate follow-ups, financing education and genuine review-request copy.
Same-Day Customer Growth Pack: $150 flat.
Want two Roof By Tom-specific examples first?</t>
  </si>
  <si>
    <t>https://roofbytom.com/</t>
  </si>
  <si>
    <t>ROOF EXPRESS</t>
  </si>
  <si>
    <t>San Jose / Bay Area, CA</t>
  </si>
  <si>
    <t>Official pages publish sales@roof-ex.com, phone/WhatsApp response within minutes during business hours, email response within one business day, free inspections, same-day inspections Mon–Sat, photo-supported digital scopes, and financing up to $25,000 with $0 down.</t>
  </si>
  <si>
    <t>(650) 666-5554</t>
  </si>
  <si>
    <t>sales@roof-ex.com</t>
  </si>
  <si>
    <t>Direct email; phone/WhatsApp typically minutes in business hours; email within 1 business day</t>
  </si>
  <si>
    <t>Market the transparent inspection → photo evidence → line-item scope → financing decision path.</t>
  </si>
  <si>
    <t>Idea for ROOF EXPRESS’s inspection-to-estimate flow</t>
  </si>
  <si>
    <t>Hi — I reviewed ROOF EXPRESS’s current estimate and financing process today. Your inspection flow gives you a stronger story than another generic roofing ad:
“See what the roof needs, what it costs and what the financing options are before deciding.”
I’d turn that into inspection posts, financing FAQs, estimate follow-ups, repair-vs-replacement education and genuine review-request copy.
Complete Same-Day Customer Growth Pack: $150 flat.
Want two ROOF EXPRESS-specific examples first?</t>
  </si>
  <si>
    <t>https://quote.roof-ex.com/contact/</t>
  </si>
  <si>
    <t>IRBIS Air Plumbing Electrical</t>
  </si>
  <si>
    <t>HVAC / Plumbing / Electrical</t>
  </si>
  <si>
    <t>Official site is current today: same-day HVAC/plumbing/electrical service, most calls before noon eligible for same-day visits, a 24/7 customer support line, free estimates, 10% off first service, and multi-trade home-care/rebate messaging.</t>
  </si>
  <si>
    <t>+1 408-317-3919</t>
  </si>
  <si>
    <t>Open 24/7 in current listing; official site advertises same-day service and 24/7 support</t>
  </si>
  <si>
    <t>Build one-home-one-team messaging around same-day problems that cross HVAC, plumbing and electrical.</t>
  </si>
  <si>
    <t>One campaign across HVAC + plumbing + electrical</t>
  </si>
  <si>
    <t>Hi — I reviewed IRBIS today and your strongest marketing advantage isn’t one individual trade — it’s that HVAC, plumbing and electrical sit under one team, with same-day service positioned prominently.
Campaign angle:
“One call when the problem crosses systems.”
I’d turn that into same-day service posts, cross-service homeowner FAQs, missed-inquiry follow-ups, estimate follow-ups and genuine review-request messaging.
Same-Day Customer Growth Pack: $150 flat.
Want two IRBIS-specific examples first?</t>
  </si>
  <si>
    <t>https://www.irbishvac.com/</t>
  </si>
  <si>
    <t>Infinium Solar, Roofing and Electric</t>
  </si>
  <si>
    <t>Solar / Roofing / Electrical</t>
  </si>
  <si>
    <t>Campbell / San Jose, CA</t>
  </si>
  <si>
    <t>Official site is current today and combines solar, roofing and electrical in-house with free estimates, South Bay service, battery/electrical work, and a current referral program offering a $500 Amazon gift card after a referred solar/battery project is completed and paid.</t>
  </si>
  <si>
    <t>(408) 583-8101</t>
  </si>
  <si>
    <t>Tuesday business hours; official South Bay contact line; free estimates</t>
  </si>
  <si>
    <t>Use pre-solar roof/electrical readiness plus the active referral program as two customer-acquisition angles.</t>
  </si>
  <si>
    <t>Solar + roof + referral campaign idea</t>
  </si>
  <si>
    <t>Hi — I reviewed Infinium’s current service and referral pages today and think you have two unusually strong campaign stories: coordinating solar, roofing and electrical under one team, and the current referral reward.
The customer-facing angle I’d lead with is:
“Before installing a long-term solar and battery system, make sure the roof and electrical system underneath it are ready for the same project.”
I’d turn that into consultation FAQs, readiness posts, estimate follow-ups, referral reminders and cross-service CTAs.
Same-Day Customer Growth Pack: $150 flat.
Want two Infinium-specific examples first?</t>
  </si>
  <si>
    <t>https://infinium.inc/</t>
  </si>
  <si>
    <t>Therma Tech</t>
  </si>
  <si>
    <t>HVAC</t>
  </si>
  <si>
    <t>Already contacted by email on Sep 7; no genuine reply found as of this refresh. Official site remains current with flexible financing, same-day HVAC messaging, free estimates, info@thermatechhvac.com, and Tuesday business hours. First respectful follow-up is due Sep 9 if no reply arrives.</t>
  </si>
  <si>
    <t>(408) 629-5400</t>
  </si>
  <si>
    <t>info@thermatechhvac.com</t>
  </si>
  <si>
    <t>Already contacted Sep 7; follow-up due Sep 9 if no genuine reply</t>
  </si>
  <si>
    <t>Preserve the financing + same-day decision angle; do not resend a new cold opener today.</t>
  </si>
  <si>
    <t>Idea for Therma Tech’s financing + same-day traffic</t>
  </si>
  <si>
    <t>Hi — following up on the financing-content idea I sent. Your site already has the offer; my thought is to make the decision easier to understand across posts, FAQs and estimate follow-up. I can send the two Therma Tech-specific examples first so you can judge the direction before deciding. No obligation.</t>
  </si>
  <si>
    <t>https://thermatechhvac.com/</t>
  </si>
  <si>
    <t>Contacted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</si>
  <si>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</si>
  <si>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</si>
  <si>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</si>
  <si>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</si>
  <si>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</si>
  <si>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</si>
  <si>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</si>
  <si>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</si>
  <si>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</si>
  <si>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</si>
  <si>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</si>
  <si>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</si>
  <si>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</si>
  <si>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</si>
  <si>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</si>
  <si>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</si>
  <si>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</si>
  <si>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</si>
  <si>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</si>
  <si>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</si>
  <si>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</si>
  <si>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</si>
  <si>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</si>
  <si>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</si>
  <si>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</si>
  <si>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</si>
  <si>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</si>
  <si>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</si>
  <si>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</si>
  <si>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</si>
  <si>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</si>
  <si>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</si>
  <si>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</si>
  <si>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</si>
  <si>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</si>
  <si>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</si>
  <si>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</si>
  <si>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</si>
  <si>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</si>
  <si>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</si>
  <si>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</si>
  <si>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</si>
  <si>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</si>
  <si>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</si>
  <si>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</si>
  <si>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</si>
  <si>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</si>
  <si>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</si>
  <si>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</si>
  <si>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</si>
  <si>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</si>
  <si>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</si>
  <si>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</si>
  <si>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</si>
  <si>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</si>
  <si>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</si>
  <si>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2026-09-07T13:34:00-07:00</t>
  </si>
  <si>
    <t>2026-09-09</t>
  </si>
  <si>
    <t>Wait for a genuine reply; if none, send one respectful follow-up on 2026-09-09.</t>
  </si>
  <si>
    <t>Archived</t>
  </si>
  <si>
    <t>CostLess Heating &amp; Cooling</t>
  </si>
  <si>
    <t>2026-09-06</t>
  </si>
  <si>
    <t>Los Gatos Roofing</t>
  </si>
  <si>
    <t>Precision Heating &amp; Cooling</t>
  </si>
  <si>
    <t>Roofs By Reveille, Inc</t>
  </si>
  <si>
    <t>A1 Restoration</t>
  </si>
  <si>
    <t>911 Restoration of San Jose</t>
  </si>
  <si>
    <t>Any Hour Water and Fire</t>
  </si>
  <si>
    <t>2026-09-07</t>
  </si>
  <si>
    <t>California Water and Fire</t>
  </si>
  <si>
    <t>South Bay Roofing CO</t>
  </si>
  <si>
    <t>Eastman Roofing &amp; Waterproofing, Inc.</t>
  </si>
  <si>
    <t>Verified Date</t>
  </si>
  <si>
    <t>Reverify Rule</t>
  </si>
  <si>
    <t>Reverify time-sensitive offers, hours, financing, ETA, and contact details before outreach.</t>
  </si>
  <si>
    <t>SAME-DAY CUSTOMER GROWTH PACK — LIVE DASHBOARD</t>
  </si>
  <si>
    <t>Metric</t>
  </si>
  <si>
    <t>Value</t>
  </si>
  <si>
    <t>Revenue Metric</t>
  </si>
  <si>
    <t>Replied</t>
  </si>
  <si>
    <t>Negotiating</t>
  </si>
  <si>
    <t>Won/Paid</t>
  </si>
  <si>
    <t>Quoted Pipeline</t>
  </si>
  <si>
    <t>Paid Revenue</t>
  </si>
  <si>
    <t>Response Rate</t>
  </si>
  <si>
    <t>Close Rate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</si>
  <si>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</si>
  <si>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</si>
  <si>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</si>
  <si>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</si>
  <si>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</si>
  <si>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</si>
  <si>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</si>
  <si>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</si>
  <si>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Evidence</t>
  </si>
  <si>
    <t>Every active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</si>
  <si>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</si>
  <si>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</si>
  <si>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</si>
  <si>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payment, customer, revenue, or fulfillment unless it actually occurred.</t>
  </si>
  <si>
    <t>Follow-up</t>
  </si>
  <si>
    <t>Initial cold contact + max two cold follow-ups, then stop unless they reply.</t>
  </si>
  <si>
    <t>Opt-out</t>
  </si>
  <si>
    <t>Immediately stop and mark Do Not Contact.</t>
  </si>
  <si>
    <t>Claims</t>
  </si>
  <si>
    <t>No guaranteed leads, ROI, rankings, bookings, response rates, or revenue.</t>
  </si>
  <si>
    <t>Workbook generation</t>
  </si>
  <si>
    <t>GitHub Actions regenerates this XLSX from the live feed + pipeline history.</t>
  </si>
  <si>
    <t>Refresh Date</t>
  </si>
  <si>
    <t>Lead Feed Date</t>
  </si>
  <si>
    <t>Active Leads</t>
  </si>
  <si>
    <t>Archived Records</t>
  </si>
  <si>
    <t>Notes</t>
  </si>
  <si>
    <t>Generated automatically from verified GitHub sources; pipeline history preserved separately.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</si>
</sst>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2" xfId="0" applyBorder="1" applyAlignment="1">
      <alignment vertical="top" wrapText="1"/>
    </xf>
    <xf numFmtId="164" fontId="0" fillId="0" borderId="2" xfId="0" applyNumberFormat="1" applyBorder="1"/>
    <xf numFmtId="0" fontId="1" fillId="3" borderId="1" xfId="0" applyFont="1" applyFill="1" applyBorder="1"/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water-damage-restoration-san-jose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bay-area.therooferbros.com/" TargetMode="External"/><Relationship Id="rId6" Type="http://schemas.openxmlformats.org/officeDocument/2006/relationships/hyperlink" Target="https://roofbytom.com/" TargetMode="External"/><Relationship Id="rId7" Type="http://schemas.openxmlformats.org/officeDocument/2006/relationships/hyperlink" Target="https://quote.roof-ex.com/contact/" TargetMode="External"/><Relationship Id="rId8" Type="http://schemas.openxmlformats.org/officeDocument/2006/relationships/hyperlink" Target="https://www.irbishvac.com/" TargetMode="External"/><Relationship Id="rId9" Type="http://schemas.openxmlformats.org/officeDocument/2006/relationships/hyperlink" Target="https://infinium.inc/" TargetMode="External"/><Relationship Id="rId10" Type="http://schemas.openxmlformats.org/officeDocument/2006/relationships/hyperlink" Target="https://thermatechhvac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water-damage-restoration-san-jose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bay-area.therooferbros.com/" TargetMode="External"/><Relationship Id="rId6" Type="http://schemas.openxmlformats.org/officeDocument/2006/relationships/hyperlink" Target="https://roofbytom.com/" TargetMode="External"/><Relationship Id="rId7" Type="http://schemas.openxmlformats.org/officeDocument/2006/relationships/hyperlink" Target="https://quote.roof-ex.com/contact/" TargetMode="External"/><Relationship Id="rId8" Type="http://schemas.openxmlformats.org/officeDocument/2006/relationships/hyperlink" Target="https://www.irbishvac.com/" TargetMode="External"/><Relationship Id="rId9" Type="http://schemas.openxmlformats.org/officeDocument/2006/relationships/hyperlink" Target="https://infinium.inc/" TargetMode="External"/><Relationship Id="rId10" Type="http://schemas.openxmlformats.org/officeDocument/2006/relationships/hyperlink" Target="https://thermatechhvac.com/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water-damage-restoration-san-jose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bay-area.therooferbros.com/" TargetMode="External"/><Relationship Id="rId6" Type="http://schemas.openxmlformats.org/officeDocument/2006/relationships/hyperlink" Target="https://roofbytom.com/" TargetMode="External"/><Relationship Id="rId7" Type="http://schemas.openxmlformats.org/officeDocument/2006/relationships/hyperlink" Target="https://quote.roof-ex.com/contact/" TargetMode="External"/><Relationship Id="rId8" Type="http://schemas.openxmlformats.org/officeDocument/2006/relationships/hyperlink" Target="https://www.irbishvac.com/" TargetMode="External"/><Relationship Id="rId9" Type="http://schemas.openxmlformats.org/officeDocument/2006/relationships/hyperlink" Target="https://infinium.inc/" TargetMode="External"/><Relationship Id="rId10" Type="http://schemas.openxmlformats.org/officeDocument/2006/relationships/hyperlink" Target="https://thermatechhvac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0.7109375" customWidth="1"/>
    <col min="3" max="3" width="26.7109375" customWidth="1"/>
    <col min="4" max="4" width="20.7109375" customWidth="1"/>
    <col min="5" max="5" width="8.7109375" customWidth="1"/>
    <col min="6" max="6" width="48.7109375" customWidth="1"/>
    <col min="7" max="7" width="18.7109375" customWidth="1"/>
    <col min="8" max="8" width="30.7109375" customWidth="1"/>
    <col min="9" max="9" width="26.7109375" customWidth="1"/>
    <col min="10" max="10" width="44.7109375" customWidth="1"/>
    <col min="11" max="11" width="36.7109375" customWidth="1"/>
    <col min="12" max="12" width="68.7109375" customWidth="1"/>
    <col min="13" max="13" width="46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  <c r="O2" s="2" t="s">
        <v>28</v>
      </c>
    </row>
    <row r="3" spans="1:15">
      <c r="A3" s="2">
        <v>2</v>
      </c>
      <c r="B3" s="2" t="s">
        <v>29</v>
      </c>
      <c r="C3" s="2" t="s">
        <v>30</v>
      </c>
      <c r="D3" s="2" t="s">
        <v>17</v>
      </c>
      <c r="E3" s="2" t="s">
        <v>18</v>
      </c>
      <c r="F3" s="2" t="s">
        <v>31</v>
      </c>
      <c r="G3" s="2" t="s">
        <v>32</v>
      </c>
      <c r="H3" s="2" t="s">
        <v>33</v>
      </c>
      <c r="I3" s="2" t="s">
        <v>34</v>
      </c>
      <c r="J3" s="2" t="s">
        <v>35</v>
      </c>
      <c r="K3" s="2" t="s">
        <v>36</v>
      </c>
      <c r="L3" s="2" t="s">
        <v>37</v>
      </c>
      <c r="M3" s="2" t="s">
        <v>38</v>
      </c>
      <c r="N3" s="2" t="s">
        <v>27</v>
      </c>
      <c r="O3" s="2" t="s">
        <v>28</v>
      </c>
    </row>
    <row r="4" spans="1:15">
      <c r="A4" s="2">
        <v>3</v>
      </c>
      <c r="B4" s="2" t="s">
        <v>39</v>
      </c>
      <c r="C4" s="2" t="s">
        <v>40</v>
      </c>
      <c r="D4" s="2" t="s">
        <v>41</v>
      </c>
      <c r="E4" s="2" t="s">
        <v>18</v>
      </c>
      <c r="F4" s="2" t="s">
        <v>42</v>
      </c>
      <c r="G4" s="2" t="s">
        <v>43</v>
      </c>
      <c r="H4" s="2" t="s">
        <v>44</v>
      </c>
      <c r="I4" s="2" t="s">
        <v>45</v>
      </c>
      <c r="J4" s="2" t="s">
        <v>46</v>
      </c>
      <c r="K4" s="2" t="s">
        <v>47</v>
      </c>
      <c r="L4" s="2" t="s">
        <v>48</v>
      </c>
      <c r="M4" s="2" t="s">
        <v>49</v>
      </c>
      <c r="N4" s="2" t="s">
        <v>27</v>
      </c>
      <c r="O4" s="2" t="s">
        <v>28</v>
      </c>
    </row>
    <row r="5" spans="1:15">
      <c r="A5" s="2">
        <v>4</v>
      </c>
      <c r="B5" s="2" t="s">
        <v>50</v>
      </c>
      <c r="C5" s="2" t="s">
        <v>51</v>
      </c>
      <c r="D5" s="2" t="s">
        <v>52</v>
      </c>
      <c r="E5" s="2" t="s">
        <v>18</v>
      </c>
      <c r="F5" s="2" t="s">
        <v>53</v>
      </c>
      <c r="G5" s="2" t="s">
        <v>54</v>
      </c>
      <c r="H5" s="2" t="s">
        <v>55</v>
      </c>
      <c r="I5" s="2" t="s">
        <v>56</v>
      </c>
      <c r="J5" s="2" t="s">
        <v>57</v>
      </c>
      <c r="K5" s="2" t="s">
        <v>58</v>
      </c>
      <c r="L5" s="2" t="s">
        <v>59</v>
      </c>
      <c r="M5" s="2" t="s">
        <v>60</v>
      </c>
      <c r="N5" s="2" t="s">
        <v>27</v>
      </c>
      <c r="O5" s="2" t="s">
        <v>28</v>
      </c>
    </row>
    <row r="6" spans="1:15">
      <c r="A6" s="2">
        <v>5</v>
      </c>
      <c r="B6" s="2" t="s">
        <v>61</v>
      </c>
      <c r="C6" s="2" t="s">
        <v>62</v>
      </c>
      <c r="D6" s="2" t="s">
        <v>63</v>
      </c>
      <c r="E6" s="2" t="s">
        <v>18</v>
      </c>
      <c r="F6" s="2" t="s">
        <v>64</v>
      </c>
      <c r="G6" s="2" t="s">
        <v>65</v>
      </c>
      <c r="H6" s="2" t="s">
        <v>66</v>
      </c>
      <c r="I6" s="2" t="s">
        <v>67</v>
      </c>
      <c r="J6" s="2" t="s">
        <v>68</v>
      </c>
      <c r="K6" s="2" t="s">
        <v>69</v>
      </c>
      <c r="L6" s="2" t="s">
        <v>70</v>
      </c>
      <c r="M6" s="2" t="s">
        <v>71</v>
      </c>
      <c r="N6" s="2" t="s">
        <v>27</v>
      </c>
      <c r="O6" s="2" t="s">
        <v>28</v>
      </c>
    </row>
    <row r="7" spans="1:15">
      <c r="A7" s="2">
        <v>6</v>
      </c>
      <c r="B7" s="2" t="s">
        <v>72</v>
      </c>
      <c r="C7" s="2" t="s">
        <v>73</v>
      </c>
      <c r="D7" s="2" t="s">
        <v>63</v>
      </c>
      <c r="E7" s="2" t="s">
        <v>18</v>
      </c>
      <c r="F7" s="2" t="s">
        <v>74</v>
      </c>
      <c r="G7" s="2" t="s">
        <v>75</v>
      </c>
      <c r="H7" s="2" t="s">
        <v>76</v>
      </c>
      <c r="I7" s="2" t="s">
        <v>77</v>
      </c>
      <c r="J7" s="2" t="s">
        <v>78</v>
      </c>
      <c r="K7" s="2" t="s">
        <v>79</v>
      </c>
      <c r="L7" s="2" t="s">
        <v>80</v>
      </c>
      <c r="M7" s="2" t="s">
        <v>81</v>
      </c>
      <c r="N7" s="2" t="s">
        <v>27</v>
      </c>
      <c r="O7" s="2" t="s">
        <v>28</v>
      </c>
    </row>
    <row r="8" spans="1:15">
      <c r="A8" s="2">
        <v>7</v>
      </c>
      <c r="B8" s="2" t="s">
        <v>82</v>
      </c>
      <c r="C8" s="2" t="s">
        <v>73</v>
      </c>
      <c r="D8" s="2" t="s">
        <v>83</v>
      </c>
      <c r="E8" s="2" t="s">
        <v>18</v>
      </c>
      <c r="F8" s="2" t="s">
        <v>84</v>
      </c>
      <c r="G8" s="2" t="s">
        <v>85</v>
      </c>
      <c r="H8" s="2" t="s">
        <v>86</v>
      </c>
      <c r="I8" s="2" t="s">
        <v>87</v>
      </c>
      <c r="J8" s="2" t="s">
        <v>88</v>
      </c>
      <c r="K8" s="2" t="s">
        <v>89</v>
      </c>
      <c r="L8" s="2" t="s">
        <v>90</v>
      </c>
      <c r="M8" s="2" t="s">
        <v>91</v>
      </c>
      <c r="N8" s="2" t="s">
        <v>27</v>
      </c>
      <c r="O8" s="2" t="s">
        <v>28</v>
      </c>
    </row>
    <row r="9" spans="1:15">
      <c r="A9" s="2">
        <v>8</v>
      </c>
      <c r="B9" s="2" t="s">
        <v>92</v>
      </c>
      <c r="C9" s="2" t="s">
        <v>93</v>
      </c>
      <c r="D9" s="2" t="s">
        <v>17</v>
      </c>
      <c r="E9" s="2" t="s">
        <v>18</v>
      </c>
      <c r="F9" s="2" t="s">
        <v>94</v>
      </c>
      <c r="G9" s="2" t="s">
        <v>95</v>
      </c>
      <c r="H9" s="2"/>
      <c r="I9" s="2" t="s">
        <v>96</v>
      </c>
      <c r="J9" s="2" t="s">
        <v>97</v>
      </c>
      <c r="K9" s="2" t="s">
        <v>98</v>
      </c>
      <c r="L9" s="2" t="s">
        <v>99</v>
      </c>
      <c r="M9" s="2" t="s">
        <v>100</v>
      </c>
      <c r="N9" s="2" t="s">
        <v>27</v>
      </c>
      <c r="O9" s="2" t="s">
        <v>28</v>
      </c>
    </row>
    <row r="10" spans="1:15">
      <c r="A10" s="2">
        <v>9</v>
      </c>
      <c r="B10" s="2" t="s">
        <v>101</v>
      </c>
      <c r="C10" s="2" t="s">
        <v>102</v>
      </c>
      <c r="D10" s="2" t="s">
        <v>103</v>
      </c>
      <c r="E10" s="2" t="s">
        <v>18</v>
      </c>
      <c r="F10" s="2" t="s">
        <v>104</v>
      </c>
      <c r="G10" s="2" t="s">
        <v>105</v>
      </c>
      <c r="H10" s="2"/>
      <c r="I10" s="2" t="s">
        <v>106</v>
      </c>
      <c r="J10" s="2" t="s">
        <v>107</v>
      </c>
      <c r="K10" s="2" t="s">
        <v>108</v>
      </c>
      <c r="L10" s="2" t="s">
        <v>109</v>
      </c>
      <c r="M10" s="2" t="s">
        <v>110</v>
      </c>
      <c r="N10" s="2" t="s">
        <v>27</v>
      </c>
      <c r="O10" s="2" t="s">
        <v>28</v>
      </c>
    </row>
    <row r="11" spans="1:15">
      <c r="A11" s="2">
        <v>10</v>
      </c>
      <c r="B11" s="2" t="s">
        <v>111</v>
      </c>
      <c r="C11" s="2" t="s">
        <v>112</v>
      </c>
      <c r="D11" s="2" t="s">
        <v>17</v>
      </c>
      <c r="E11" s="2" t="s">
        <v>18</v>
      </c>
      <c r="F11" s="2" t="s">
        <v>113</v>
      </c>
      <c r="G11" s="2" t="s">
        <v>114</v>
      </c>
      <c r="H11" s="2" t="s">
        <v>115</v>
      </c>
      <c r="I11" s="2" t="s">
        <v>116</v>
      </c>
      <c r="J11" s="2" t="s">
        <v>117</v>
      </c>
      <c r="K11" s="2" t="s">
        <v>118</v>
      </c>
      <c r="L11" s="2" t="s">
        <v>119</v>
      </c>
      <c r="M11" s="2" t="s">
        <v>120</v>
      </c>
      <c r="N11" s="2" t="s">
        <v>27</v>
      </c>
      <c r="O11" s="2" t="s">
        <v>121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2.7109375" customWidth="1"/>
    <col min="4" max="4" width="92.7109375" customWidth="1"/>
  </cols>
  <sheetData>
    <row r="1" spans="1:4">
      <c r="A1" s="1" t="s">
        <v>122</v>
      </c>
      <c r="B1" s="1" t="s">
        <v>123</v>
      </c>
      <c r="C1" s="1" t="s">
        <v>124</v>
      </c>
      <c r="D1" s="1" t="s">
        <v>125</v>
      </c>
    </row>
    <row r="2" spans="1:4">
      <c r="A2" s="2" t="s">
        <v>126</v>
      </c>
      <c r="B2" s="2" t="s">
        <v>127</v>
      </c>
      <c r="C2" s="2" t="s">
        <v>128</v>
      </c>
      <c r="D2" s="2" t="s">
        <v>129</v>
      </c>
    </row>
    <row r="3" spans="1:4">
      <c r="A3" s="2" t="s">
        <v>130</v>
      </c>
      <c r="B3" s="2" t="s">
        <v>131</v>
      </c>
      <c r="C3" s="2" t="s">
        <v>132</v>
      </c>
      <c r="D3" s="2" t="s">
        <v>133</v>
      </c>
    </row>
    <row r="4" spans="1:4">
      <c r="A4" s="2" t="s">
        <v>134</v>
      </c>
      <c r="B4" s="2" t="s">
        <v>135</v>
      </c>
      <c r="C4" s="2" t="s">
        <v>136</v>
      </c>
      <c r="D4" s="2" t="s">
        <v>137</v>
      </c>
    </row>
    <row r="5" spans="1:4">
      <c r="A5" s="2" t="s">
        <v>138</v>
      </c>
      <c r="B5" s="2" t="s">
        <v>139</v>
      </c>
      <c r="C5" s="2" t="s">
        <v>140</v>
      </c>
      <c r="D5" s="2" t="s">
        <v>141</v>
      </c>
    </row>
    <row r="6" spans="1:4">
      <c r="A6" s="2" t="s">
        <v>142</v>
      </c>
      <c r="B6" s="2" t="s">
        <v>143</v>
      </c>
      <c r="C6" s="2" t="s">
        <v>144</v>
      </c>
      <c r="D6" s="2" t="s">
        <v>145</v>
      </c>
    </row>
    <row r="7" spans="1:4">
      <c r="A7" s="2" t="s">
        <v>146</v>
      </c>
      <c r="B7" s="2" t="s">
        <v>147</v>
      </c>
      <c r="C7" s="2" t="s">
        <v>148</v>
      </c>
      <c r="D7" s="2" t="s">
        <v>149</v>
      </c>
    </row>
    <row r="8" spans="1:4">
      <c r="A8" s="2" t="s">
        <v>150</v>
      </c>
      <c r="B8" s="2" t="s">
        <v>151</v>
      </c>
      <c r="C8" s="2" t="s">
        <v>152</v>
      </c>
      <c r="D8" s="2" t="s">
        <v>153</v>
      </c>
    </row>
    <row r="9" spans="1:4">
      <c r="A9" s="2" t="s">
        <v>154</v>
      </c>
      <c r="B9" s="2" t="s">
        <v>155</v>
      </c>
      <c r="C9" s="2" t="s">
        <v>156</v>
      </c>
      <c r="D9" s="2" t="s">
        <v>157</v>
      </c>
    </row>
    <row r="10" spans="1:4">
      <c r="A10" s="2" t="s">
        <v>158</v>
      </c>
      <c r="B10" s="2" t="s">
        <v>159</v>
      </c>
      <c r="C10" s="2" t="s">
        <v>160</v>
      </c>
      <c r="D10" s="2" t="s">
        <v>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9.7109375" customWidth="1"/>
    <col min="3" max="3" width="30.7109375" customWidth="1"/>
    <col min="4" max="4" width="18.7109375" customWidth="1"/>
    <col min="5" max="8" width="14.7109375" customWidth="1"/>
    <col min="9" max="9" width="42.7109375" customWidth="1"/>
    <col min="10" max="10" width="18.7109375" customWidth="1"/>
    <col min="11" max="12" width="12.7109375" customWidth="1"/>
    <col min="13" max="13" width="14.7109375" customWidth="1"/>
    <col min="14" max="14" width="38.7109375" customWidth="1"/>
    <col min="15" max="15" width="10.7109375" customWidth="1"/>
    <col min="16" max="16" width="14.7109375" customWidth="1"/>
    <col min="17" max="17" width="48.7109375" customWidth="1"/>
  </cols>
  <sheetData>
    <row r="1" spans="1:17">
      <c r="A1" s="1" t="s">
        <v>162</v>
      </c>
      <c r="B1" s="1" t="s">
        <v>163</v>
      </c>
      <c r="C1" s="1" t="s">
        <v>164</v>
      </c>
      <c r="D1" s="1" t="s">
        <v>165</v>
      </c>
      <c r="E1" s="1" t="s">
        <v>166</v>
      </c>
      <c r="F1" s="1" t="s">
        <v>167</v>
      </c>
      <c r="G1" s="1" t="s">
        <v>168</v>
      </c>
      <c r="H1" s="1" t="s">
        <v>169</v>
      </c>
      <c r="I1" s="1" t="s">
        <v>170</v>
      </c>
      <c r="J1" s="1" t="s">
        <v>123</v>
      </c>
      <c r="K1" s="1" t="s">
        <v>171</v>
      </c>
      <c r="L1" s="1" t="s">
        <v>172</v>
      </c>
      <c r="M1" s="1" t="s">
        <v>173</v>
      </c>
      <c r="N1" s="1" t="s">
        <v>174</v>
      </c>
      <c r="O1" s="1" t="s">
        <v>175</v>
      </c>
      <c r="P1" s="1" t="s">
        <v>176</v>
      </c>
      <c r="Q1" s="1" t="s">
        <v>177</v>
      </c>
    </row>
    <row r="2" spans="1:17">
      <c r="A2" s="2" t="s">
        <v>15</v>
      </c>
      <c r="B2" s="2">
        <v>1</v>
      </c>
      <c r="C2" s="2" t="s">
        <v>21</v>
      </c>
      <c r="D2" s="2"/>
      <c r="E2" s="2"/>
      <c r="F2" s="2"/>
      <c r="G2" s="2"/>
      <c r="H2" s="2"/>
      <c r="I2" s="2"/>
      <c r="J2" s="2" t="s">
        <v>28</v>
      </c>
      <c r="K2" s="3">
        <v>150</v>
      </c>
      <c r="L2" s="3">
        <v>0</v>
      </c>
      <c r="M2" s="2"/>
      <c r="N2" s="2"/>
      <c r="O2" s="2"/>
      <c r="P2" s="2" t="s">
        <v>27</v>
      </c>
      <c r="Q2" s="2" t="s">
        <v>26</v>
      </c>
    </row>
    <row r="3" spans="1:17">
      <c r="A3" s="2" t="s">
        <v>29</v>
      </c>
      <c r="B3" s="2">
        <v>2</v>
      </c>
      <c r="C3" s="2" t="s">
        <v>33</v>
      </c>
      <c r="D3" s="2"/>
      <c r="E3" s="2"/>
      <c r="F3" s="2"/>
      <c r="G3" s="2"/>
      <c r="H3" s="2"/>
      <c r="I3" s="2"/>
      <c r="J3" s="2" t="s">
        <v>28</v>
      </c>
      <c r="K3" s="3">
        <v>150</v>
      </c>
      <c r="L3" s="3">
        <v>0</v>
      </c>
      <c r="M3" s="2"/>
      <c r="N3" s="2"/>
      <c r="O3" s="2"/>
      <c r="P3" s="2" t="s">
        <v>27</v>
      </c>
      <c r="Q3" s="2" t="s">
        <v>38</v>
      </c>
    </row>
    <row r="4" spans="1:17">
      <c r="A4" s="2" t="s">
        <v>39</v>
      </c>
      <c r="B4" s="2">
        <v>3</v>
      </c>
      <c r="C4" s="2" t="s">
        <v>44</v>
      </c>
      <c r="D4" s="2"/>
      <c r="E4" s="2"/>
      <c r="F4" s="2"/>
      <c r="G4" s="2"/>
      <c r="H4" s="2"/>
      <c r="I4" s="2"/>
      <c r="J4" s="2" t="s">
        <v>28</v>
      </c>
      <c r="K4" s="3">
        <v>150</v>
      </c>
      <c r="L4" s="3">
        <v>0</v>
      </c>
      <c r="M4" s="2"/>
      <c r="N4" s="2"/>
      <c r="O4" s="2"/>
      <c r="P4" s="2" t="s">
        <v>27</v>
      </c>
      <c r="Q4" s="2" t="s">
        <v>49</v>
      </c>
    </row>
    <row r="5" spans="1:17">
      <c r="A5" s="2" t="s">
        <v>50</v>
      </c>
      <c r="B5" s="2">
        <v>4</v>
      </c>
      <c r="C5" s="2" t="s">
        <v>55</v>
      </c>
      <c r="D5" s="2"/>
      <c r="E5" s="2"/>
      <c r="F5" s="2"/>
      <c r="G5" s="2"/>
      <c r="H5" s="2"/>
      <c r="I5" s="2"/>
      <c r="J5" s="2" t="s">
        <v>28</v>
      </c>
      <c r="K5" s="3">
        <v>150</v>
      </c>
      <c r="L5" s="3">
        <v>0</v>
      </c>
      <c r="M5" s="2"/>
      <c r="N5" s="2"/>
      <c r="O5" s="2"/>
      <c r="P5" s="2" t="s">
        <v>27</v>
      </c>
      <c r="Q5" s="2" t="s">
        <v>60</v>
      </c>
    </row>
    <row r="6" spans="1:17">
      <c r="A6" s="2" t="s">
        <v>61</v>
      </c>
      <c r="B6" s="2">
        <v>5</v>
      </c>
      <c r="C6" s="2" t="s">
        <v>66</v>
      </c>
      <c r="D6" s="2"/>
      <c r="E6" s="2"/>
      <c r="F6" s="2"/>
      <c r="G6" s="2"/>
      <c r="H6" s="2"/>
      <c r="I6" s="2"/>
      <c r="J6" s="2" t="s">
        <v>28</v>
      </c>
      <c r="K6" s="3">
        <v>150</v>
      </c>
      <c r="L6" s="3">
        <v>0</v>
      </c>
      <c r="M6" s="2"/>
      <c r="N6" s="2"/>
      <c r="O6" s="2"/>
      <c r="P6" s="2" t="s">
        <v>27</v>
      </c>
      <c r="Q6" s="2" t="s">
        <v>71</v>
      </c>
    </row>
    <row r="7" spans="1:17">
      <c r="A7" s="2" t="s">
        <v>72</v>
      </c>
      <c r="B7" s="2">
        <v>6</v>
      </c>
      <c r="C7" s="2" t="s">
        <v>76</v>
      </c>
      <c r="D7" s="2"/>
      <c r="E7" s="2"/>
      <c r="F7" s="2"/>
      <c r="G7" s="2"/>
      <c r="H7" s="2"/>
      <c r="I7" s="2"/>
      <c r="J7" s="2" t="s">
        <v>28</v>
      </c>
      <c r="K7" s="3">
        <v>150</v>
      </c>
      <c r="L7" s="3">
        <v>0</v>
      </c>
      <c r="M7" s="2"/>
      <c r="N7" s="2"/>
      <c r="O7" s="2"/>
      <c r="P7" s="2" t="s">
        <v>27</v>
      </c>
      <c r="Q7" s="2" t="s">
        <v>81</v>
      </c>
    </row>
    <row r="8" spans="1:17">
      <c r="A8" s="2" t="s">
        <v>82</v>
      </c>
      <c r="B8" s="2">
        <v>7</v>
      </c>
      <c r="C8" s="2" t="s">
        <v>86</v>
      </c>
      <c r="D8" s="2"/>
      <c r="E8" s="2"/>
      <c r="F8" s="2"/>
      <c r="G8" s="2"/>
      <c r="H8" s="2"/>
      <c r="I8" s="2"/>
      <c r="J8" s="2" t="s">
        <v>28</v>
      </c>
      <c r="K8" s="3">
        <v>150</v>
      </c>
      <c r="L8" s="3">
        <v>0</v>
      </c>
      <c r="M8" s="2"/>
      <c r="N8" s="2"/>
      <c r="O8" s="2"/>
      <c r="P8" s="2" t="s">
        <v>27</v>
      </c>
      <c r="Q8" s="2" t="s">
        <v>91</v>
      </c>
    </row>
    <row r="9" spans="1:17">
      <c r="A9" s="2" t="s">
        <v>92</v>
      </c>
      <c r="B9" s="2">
        <v>8</v>
      </c>
      <c r="C9" s="2" t="s">
        <v>95</v>
      </c>
      <c r="D9" s="2"/>
      <c r="E9" s="2"/>
      <c r="F9" s="2"/>
      <c r="G9" s="2"/>
      <c r="H9" s="2"/>
      <c r="I9" s="2"/>
      <c r="J9" s="2" t="s">
        <v>28</v>
      </c>
      <c r="K9" s="3">
        <v>150</v>
      </c>
      <c r="L9" s="3">
        <v>0</v>
      </c>
      <c r="M9" s="2"/>
      <c r="N9" s="2"/>
      <c r="O9" s="2"/>
      <c r="P9" s="2" t="s">
        <v>27</v>
      </c>
      <c r="Q9" s="2" t="s">
        <v>100</v>
      </c>
    </row>
    <row r="10" spans="1:17">
      <c r="A10" s="2" t="s">
        <v>101</v>
      </c>
      <c r="B10" s="2">
        <v>9</v>
      </c>
      <c r="C10" s="2" t="s">
        <v>105</v>
      </c>
      <c r="D10" s="2"/>
      <c r="E10" s="2"/>
      <c r="F10" s="2"/>
      <c r="G10" s="2"/>
      <c r="H10" s="2"/>
      <c r="I10" s="2"/>
      <c r="J10" s="2" t="s">
        <v>28</v>
      </c>
      <c r="K10" s="3">
        <v>150</v>
      </c>
      <c r="L10" s="3">
        <v>0</v>
      </c>
      <c r="M10" s="2"/>
      <c r="N10" s="2"/>
      <c r="O10" s="2"/>
      <c r="P10" s="2" t="s">
        <v>27</v>
      </c>
      <c r="Q10" s="2" t="s">
        <v>110</v>
      </c>
    </row>
    <row r="11" spans="1:17">
      <c r="A11" s="2" t="s">
        <v>111</v>
      </c>
      <c r="B11" s="2">
        <v>10</v>
      </c>
      <c r="C11" s="2" t="s">
        <v>115</v>
      </c>
      <c r="D11" s="2" t="s">
        <v>178</v>
      </c>
      <c r="E11" s="2" t="s">
        <v>179</v>
      </c>
      <c r="F11" s="2"/>
      <c r="G11" s="2"/>
      <c r="H11" s="2"/>
      <c r="I11" s="2"/>
      <c r="J11" s="2" t="s">
        <v>121</v>
      </c>
      <c r="K11" s="3">
        <v>150</v>
      </c>
      <c r="L11" s="3">
        <v>0</v>
      </c>
      <c r="M11" s="2"/>
      <c r="N11" s="2" t="s">
        <v>180</v>
      </c>
      <c r="O11" s="2"/>
      <c r="P11" s="2" t="s">
        <v>27</v>
      </c>
      <c r="Q11" s="2" t="s">
        <v>120</v>
      </c>
    </row>
  </sheetData>
  <autoFilter ref="A1:Q11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8" width="22.7109375" customWidth="1"/>
  </cols>
  <sheetData>
    <row r="1" spans="1:8">
      <c r="A1" s="4" t="s">
        <v>1</v>
      </c>
      <c r="B1" s="4" t="s">
        <v>123</v>
      </c>
      <c r="C1" s="4" t="s">
        <v>165</v>
      </c>
      <c r="D1" s="4" t="s">
        <v>170</v>
      </c>
      <c r="E1" s="4" t="s">
        <v>171</v>
      </c>
      <c r="F1" s="4" t="s">
        <v>172</v>
      </c>
      <c r="G1" s="4" t="s">
        <v>181</v>
      </c>
      <c r="H1" s="4" t="s">
        <v>175</v>
      </c>
    </row>
    <row r="2" spans="1:8">
      <c r="A2" s="2" t="s">
        <v>182</v>
      </c>
      <c r="B2" s="2" t="s">
        <v>28</v>
      </c>
      <c r="C2" s="2"/>
      <c r="D2" s="2"/>
      <c r="E2" s="3">
        <v>150</v>
      </c>
      <c r="F2" s="3">
        <v>0</v>
      </c>
      <c r="G2" s="2" t="s">
        <v>183</v>
      </c>
      <c r="H2" s="2"/>
    </row>
    <row r="3" spans="1:8">
      <c r="A3" s="2" t="s">
        <v>184</v>
      </c>
      <c r="B3" s="2" t="s">
        <v>28</v>
      </c>
      <c r="C3" s="2"/>
      <c r="D3" s="2"/>
      <c r="E3" s="3">
        <v>150</v>
      </c>
      <c r="F3" s="3">
        <v>0</v>
      </c>
      <c r="G3" s="2" t="s">
        <v>183</v>
      </c>
      <c r="H3" s="2"/>
    </row>
    <row r="4" spans="1:8">
      <c r="A4" s="2" t="s">
        <v>185</v>
      </c>
      <c r="B4" s="2" t="s">
        <v>28</v>
      </c>
      <c r="C4" s="2"/>
      <c r="D4" s="2"/>
      <c r="E4" s="3">
        <v>150</v>
      </c>
      <c r="F4" s="3">
        <v>0</v>
      </c>
      <c r="G4" s="2" t="s">
        <v>183</v>
      </c>
      <c r="H4" s="2"/>
    </row>
    <row r="5" spans="1:8">
      <c r="A5" s="2" t="s">
        <v>186</v>
      </c>
      <c r="B5" s="2" t="s">
        <v>28</v>
      </c>
      <c r="C5" s="2"/>
      <c r="D5" s="2"/>
      <c r="E5" s="3">
        <v>150</v>
      </c>
      <c r="F5" s="3">
        <v>0</v>
      </c>
      <c r="G5" s="2" t="s">
        <v>183</v>
      </c>
      <c r="H5" s="2"/>
    </row>
    <row r="6" spans="1:8">
      <c r="A6" s="2" t="s">
        <v>187</v>
      </c>
      <c r="B6" s="2" t="s">
        <v>28</v>
      </c>
      <c r="C6" s="2"/>
      <c r="D6" s="2"/>
      <c r="E6" s="3">
        <v>150</v>
      </c>
      <c r="F6" s="3">
        <v>0</v>
      </c>
      <c r="G6" s="2" t="s">
        <v>183</v>
      </c>
      <c r="H6" s="2"/>
    </row>
    <row r="7" spans="1:8">
      <c r="A7" s="2" t="s">
        <v>188</v>
      </c>
      <c r="B7" s="2" t="s">
        <v>28</v>
      </c>
      <c r="C7" s="2"/>
      <c r="D7" s="2"/>
      <c r="E7" s="3">
        <v>150</v>
      </c>
      <c r="F7" s="3">
        <v>0</v>
      </c>
      <c r="G7" s="2" t="s">
        <v>183</v>
      </c>
      <c r="H7" s="2"/>
    </row>
    <row r="8" spans="1:8">
      <c r="A8" s="2" t="s">
        <v>189</v>
      </c>
      <c r="B8" s="2" t="s">
        <v>28</v>
      </c>
      <c r="C8" s="2"/>
      <c r="D8" s="2"/>
      <c r="E8" s="3">
        <v>150</v>
      </c>
      <c r="F8" s="3">
        <v>0</v>
      </c>
      <c r="G8" s="2" t="s">
        <v>190</v>
      </c>
      <c r="H8" s="2"/>
    </row>
    <row r="9" spans="1:8">
      <c r="A9" s="2" t="s">
        <v>191</v>
      </c>
      <c r="B9" s="2" t="s">
        <v>28</v>
      </c>
      <c r="C9" s="2"/>
      <c r="D9" s="2"/>
      <c r="E9" s="3">
        <v>150</v>
      </c>
      <c r="F9" s="3">
        <v>0</v>
      </c>
      <c r="G9" s="2" t="s">
        <v>190</v>
      </c>
      <c r="H9" s="2"/>
    </row>
    <row r="10" spans="1:8">
      <c r="A10" s="2" t="s">
        <v>192</v>
      </c>
      <c r="B10" s="2" t="s">
        <v>28</v>
      </c>
      <c r="C10" s="2"/>
      <c r="D10" s="2"/>
      <c r="E10" s="3">
        <v>150</v>
      </c>
      <c r="F10" s="3">
        <v>0</v>
      </c>
      <c r="G10" s="2" t="s">
        <v>190</v>
      </c>
      <c r="H10" s="2"/>
    </row>
    <row r="11" spans="1:8">
      <c r="A11" s="2" t="s">
        <v>193</v>
      </c>
      <c r="B11" s="2" t="s">
        <v>28</v>
      </c>
      <c r="C11" s="2"/>
      <c r="D11" s="2"/>
      <c r="E11" s="3">
        <v>150</v>
      </c>
      <c r="F11" s="3">
        <v>0</v>
      </c>
      <c r="G11" s="2" t="s">
        <v>190</v>
      </c>
      <c r="H11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58.7109375" customWidth="1"/>
    <col min="3" max="3" width="50.7109375" customWidth="1"/>
    <col min="4" max="4" width="14.7109375" customWidth="1"/>
    <col min="5" max="5" width="54.7109375" customWidth="1"/>
  </cols>
  <sheetData>
    <row r="1" spans="1:5">
      <c r="A1" s="1" t="s">
        <v>1</v>
      </c>
      <c r="B1" s="1" t="s">
        <v>5</v>
      </c>
      <c r="C1" s="1" t="s">
        <v>12</v>
      </c>
      <c r="D1" s="1" t="s">
        <v>194</v>
      </c>
      <c r="E1" s="1" t="s">
        <v>195</v>
      </c>
    </row>
    <row r="2" spans="1:5">
      <c r="A2" s="2" t="s">
        <v>15</v>
      </c>
      <c r="B2" s="2" t="s">
        <v>19</v>
      </c>
      <c r="C2" s="2" t="s">
        <v>26</v>
      </c>
      <c r="D2" s="2" t="s">
        <v>27</v>
      </c>
      <c r="E2" s="2" t="s">
        <v>196</v>
      </c>
    </row>
    <row r="3" spans="1:5">
      <c r="A3" s="2" t="s">
        <v>29</v>
      </c>
      <c r="B3" s="2" t="s">
        <v>31</v>
      </c>
      <c r="C3" s="2" t="s">
        <v>38</v>
      </c>
      <c r="D3" s="2" t="s">
        <v>27</v>
      </c>
      <c r="E3" s="2" t="s">
        <v>196</v>
      </c>
    </row>
    <row r="4" spans="1:5">
      <c r="A4" s="2" t="s">
        <v>39</v>
      </c>
      <c r="B4" s="2" t="s">
        <v>42</v>
      </c>
      <c r="C4" s="2" t="s">
        <v>49</v>
      </c>
      <c r="D4" s="2" t="s">
        <v>27</v>
      </c>
      <c r="E4" s="2" t="s">
        <v>196</v>
      </c>
    </row>
    <row r="5" spans="1:5">
      <c r="A5" s="2" t="s">
        <v>50</v>
      </c>
      <c r="B5" s="2" t="s">
        <v>53</v>
      </c>
      <c r="C5" s="2" t="s">
        <v>60</v>
      </c>
      <c r="D5" s="2" t="s">
        <v>27</v>
      </c>
      <c r="E5" s="2" t="s">
        <v>196</v>
      </c>
    </row>
    <row r="6" spans="1:5">
      <c r="A6" s="2" t="s">
        <v>61</v>
      </c>
      <c r="B6" s="2" t="s">
        <v>64</v>
      </c>
      <c r="C6" s="2" t="s">
        <v>71</v>
      </c>
      <c r="D6" s="2" t="s">
        <v>27</v>
      </c>
      <c r="E6" s="2" t="s">
        <v>196</v>
      </c>
    </row>
    <row r="7" spans="1:5">
      <c r="A7" s="2" t="s">
        <v>72</v>
      </c>
      <c r="B7" s="2" t="s">
        <v>74</v>
      </c>
      <c r="C7" s="2" t="s">
        <v>81</v>
      </c>
      <c r="D7" s="2" t="s">
        <v>27</v>
      </c>
      <c r="E7" s="2" t="s">
        <v>196</v>
      </c>
    </row>
    <row r="8" spans="1:5">
      <c r="A8" s="2" t="s">
        <v>82</v>
      </c>
      <c r="B8" s="2" t="s">
        <v>84</v>
      </c>
      <c r="C8" s="2" t="s">
        <v>91</v>
      </c>
      <c r="D8" s="2" t="s">
        <v>27</v>
      </c>
      <c r="E8" s="2" t="s">
        <v>196</v>
      </c>
    </row>
    <row r="9" spans="1:5">
      <c r="A9" s="2" t="s">
        <v>92</v>
      </c>
      <c r="B9" s="2" t="s">
        <v>94</v>
      </c>
      <c r="C9" s="2" t="s">
        <v>100</v>
      </c>
      <c r="D9" s="2" t="s">
        <v>27</v>
      </c>
      <c r="E9" s="2" t="s">
        <v>196</v>
      </c>
    </row>
    <row r="10" spans="1:5">
      <c r="A10" s="2" t="s">
        <v>101</v>
      </c>
      <c r="B10" s="2" t="s">
        <v>104</v>
      </c>
      <c r="C10" s="2" t="s">
        <v>110</v>
      </c>
      <c r="D10" s="2" t="s">
        <v>27</v>
      </c>
      <c r="E10" s="2" t="s">
        <v>196</v>
      </c>
    </row>
    <row r="11" spans="1:5">
      <c r="A11" s="2" t="s">
        <v>111</v>
      </c>
      <c r="B11" s="2" t="s">
        <v>113</v>
      </c>
      <c r="C11" s="2" t="s">
        <v>120</v>
      </c>
      <c r="D11" s="2" t="s">
        <v>27</v>
      </c>
      <c r="E11" s="2" t="s">
        <v>196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sheetFormatPr defaultRowHeight="15"/>
  <cols>
    <col min="1" max="1" width="20.7109375" customWidth="1"/>
    <col min="2" max="2" width="14.7109375" customWidth="1"/>
    <col min="3" max="3" width="4.7109375" customWidth="1"/>
    <col min="4" max="4" width="22.7109375" customWidth="1"/>
    <col min="5" max="5" width="16.7109375" customWidth="1"/>
  </cols>
  <sheetData>
    <row r="1" spans="1:5" ht="28" customHeight="1">
      <c r="A1" s="5" t="s">
        <v>197</v>
      </c>
      <c r="B1" s="5"/>
      <c r="C1" s="5"/>
      <c r="D1" s="5"/>
      <c r="E1" s="5"/>
    </row>
    <row r="3" spans="1:5">
      <c r="A3" s="1" t="s">
        <v>198</v>
      </c>
      <c r="B3" s="1" t="s">
        <v>199</v>
      </c>
      <c r="C3" s="2"/>
      <c r="D3" s="1" t="s">
        <v>200</v>
      </c>
      <c r="E3" s="1" t="s">
        <v>199</v>
      </c>
    </row>
    <row r="4" spans="1:5">
      <c r="A4" s="2" t="s">
        <v>28</v>
      </c>
      <c r="B4" s="2">
        <f>COUNTIF(Pipeline!J:J,"Contact Ready")</f>
        <v>0</v>
      </c>
      <c r="D4" s="2" t="s">
        <v>204</v>
      </c>
      <c r="E4" s="3">
        <f>SUM(Pipeline!K:K)</f>
        <v>0</v>
      </c>
    </row>
    <row r="5" spans="1:5">
      <c r="A5" s="2" t="s">
        <v>121</v>
      </c>
      <c r="B5" s="2">
        <f>COUNTIF(Pipeline!J:J,"Contacted")</f>
        <v>0</v>
      </c>
      <c r="D5" s="2" t="s">
        <v>205</v>
      </c>
      <c r="E5" s="3">
        <f>SUM(Pipeline!L:L)</f>
        <v>0</v>
      </c>
    </row>
    <row r="6" spans="1:5">
      <c r="A6" s="2" t="s">
        <v>201</v>
      </c>
      <c r="B6" s="2">
        <f>COUNTIF(Pipeline!J:J,"Replied")</f>
        <v>0</v>
      </c>
      <c r="D6" s="2" t="s">
        <v>206</v>
      </c>
      <c r="E6" s="6">
        <f>IFERROR(COUNTIF(Pipeline!J:J,"Replied")/COUNTIF(Pipeline!D:D,"&lt;&gt;"),0)</f>
        <v>0</v>
      </c>
    </row>
    <row r="7" spans="1:5">
      <c r="A7" s="2" t="s">
        <v>202</v>
      </c>
      <c r="B7" s="2">
        <f>COUNTIF(Pipeline!J:J,"Negotiating")</f>
        <v>0</v>
      </c>
      <c r="D7" s="2" t="s">
        <v>207</v>
      </c>
      <c r="E7" s="6">
        <f>IFERROR(COUNTIF(Pipeline!J:J,"Won/Paid")/COUNTIF(Pipeline!D:D,"&lt;&gt;"),0)</f>
        <v>0</v>
      </c>
    </row>
    <row r="8" spans="1:5">
      <c r="A8" s="2" t="s">
        <v>203</v>
      </c>
      <c r="B8" s="2">
        <f>COUNTIF(Pipeline!J:J,"Won/Paid")</f>
        <v>0</v>
      </c>
    </row>
    <row r="9" spans="1:5">
      <c r="A9" s="2" t="s">
        <v>173</v>
      </c>
      <c r="B9" s="2">
        <f>COUNTIF(Pipeline!J:J,"Fulfilled")</f>
        <v>0</v>
      </c>
    </row>
  </sheetData>
  <mergeCells count="1"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28.7109375" customWidth="1"/>
    <col min="2" max="2" width="92.7109375" customWidth="1"/>
  </cols>
  <sheetData>
    <row r="1" spans="1:2">
      <c r="A1" s="1" t="s">
        <v>208</v>
      </c>
      <c r="B1" s="1" t="s">
        <v>209</v>
      </c>
    </row>
    <row r="2" spans="1:2">
      <c r="A2" s="2" t="s">
        <v>210</v>
      </c>
      <c r="B2" s="2" t="s">
        <v>211</v>
      </c>
    </row>
    <row r="3" spans="1:2">
      <c r="A3" s="2" t="s">
        <v>212</v>
      </c>
      <c r="B3" s="2" t="s">
        <v>213</v>
      </c>
    </row>
    <row r="4" spans="1:2">
      <c r="A4" s="2" t="s">
        <v>214</v>
      </c>
      <c r="B4" s="2" t="s">
        <v>215</v>
      </c>
    </row>
    <row r="5" spans="1:2">
      <c r="A5" s="2" t="s">
        <v>216</v>
      </c>
      <c r="B5" s="2" t="s">
        <v>217</v>
      </c>
    </row>
    <row r="6" spans="1:2">
      <c r="A6" s="2" t="s">
        <v>218</v>
      </c>
      <c r="B6" s="2" t="s">
        <v>219</v>
      </c>
    </row>
    <row r="7" spans="1:2">
      <c r="A7" s="2" t="s">
        <v>220</v>
      </c>
      <c r="B7" s="2" t="s">
        <v>221</v>
      </c>
    </row>
    <row r="8" spans="1:2">
      <c r="A8" s="2" t="s">
        <v>222</v>
      </c>
      <c r="B8" s="2" t="s">
        <v>223</v>
      </c>
    </row>
    <row r="9" spans="1:2">
      <c r="A9" s="2" t="s">
        <v>224</v>
      </c>
      <c r="B9" s="2" t="s">
        <v>225</v>
      </c>
    </row>
    <row r="10" spans="1:2">
      <c r="A10" s="2" t="s">
        <v>226</v>
      </c>
      <c r="B10" s="2" t="s">
        <v>227</v>
      </c>
    </row>
    <row r="11" spans="1:2">
      <c r="A11" s="2" t="s">
        <v>228</v>
      </c>
      <c r="B11" s="2" t="s">
        <v>229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18.7109375" customWidth="1"/>
    <col min="5" max="5" width="78.7109375" customWidth="1"/>
  </cols>
  <sheetData>
    <row r="1" spans="1:5">
      <c r="A1" s="1" t="s">
        <v>230</v>
      </c>
      <c r="B1" s="1" t="s">
        <v>231</v>
      </c>
      <c r="C1" s="1" t="s">
        <v>232</v>
      </c>
      <c r="D1" s="1" t="s">
        <v>233</v>
      </c>
      <c r="E1" s="1" t="s">
        <v>234</v>
      </c>
    </row>
    <row r="2" spans="1:5">
      <c r="A2" s="2" t="s">
        <v>27</v>
      </c>
      <c r="B2" s="2" t="s">
        <v>27</v>
      </c>
      <c r="C2" s="2">
        <v>10</v>
      </c>
      <c r="D2" s="2">
        <v>10</v>
      </c>
      <c r="E2" s="2" t="s">
        <v>235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Priority Leads</vt:lpstr>
      <vt:lpstr>Scripts</vt:lpstr>
      <vt:lpstr>Pipeline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2026-09-08T15:07:35Z</dcterms:created>
  <dcterms:modified xsi:type="dcterms:W3CDTF">2026-09-08T15:07:35Z</dcterms:modified>
</cp:coreProperties>
</file>