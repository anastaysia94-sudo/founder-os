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ew Lead Queue" sheetId="1" r:id="rId1"/>
    <sheet name="Scripts" sheetId="2" r:id="rId2"/>
    <sheet name="Pipeline" sheetId="3" r:id="rId3"/>
    <sheet name="Actual Outreach History" sheetId="4" r:id="rId4"/>
    <sheet name="Archived Leads" sheetId="5" r:id="rId5"/>
    <sheet name="Sources" sheetId="6" r:id="rId6"/>
    <sheet name="Dashboard" sheetId="7" r:id="rId7"/>
    <sheet name="Update Rules" sheetId="8" r:id="rId8"/>
    <sheet name="Refresh Log" sheetId="9" r:id="rId9"/>
  </sheets>
  <definedNames>
    <definedName name="_xlnm._FilterDatabase" localSheetId="0" hidden="1">'New Lead Queue'!$A$1:$O$21</definedName>
    <definedName name="_xlnm._FilterDatabase" localSheetId="2" hidden="1">Pipeline!$A$1:$R$36</definedName>
  </definedNames>
  <calcPr calcId="124519" fullCalcOnLoad="1"/>
</workbook>
</file>

<file path=xl/sharedStrings.xml><?xml version="1.0" encoding="utf-8"?>
<sst xmlns="http://schemas.openxmlformats.org/spreadsheetml/2006/main" count="935" uniqueCount="423">
  <si>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</si>
  <si>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</si>
  <si>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</si>
  <si>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</si>
  <si>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</si>
  <si>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</si>
  <si>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</si>
  <si>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</si>
  <si>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</si>
  <si>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</si>
  <si>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</si>
  <si>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</si>
  <si>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</si>
  <si>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</si>
  <si>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</si>
  <si>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Hertz Electric Inc</t>
  </si>
  <si>
    <t>Electrical / EV / Panel / Battery</t>
  </si>
  <si>
    <t>San Jose / Bay Area, CA</t>
  </si>
  <si>
    <t>A</t>
  </si>
  <si>
    <t>Current official site advertises same-day and emergency electrical service, EV chargers, panel upgrades, Tesla Powerwall work, free estimates and typically responding within a few hours.</t>
  </si>
  <si>
    <t>(415) 676-0598</t>
  </si>
  <si>
    <t>arash@thehertzelectric.com</t>
  </si>
  <si>
    <t>Direct email; same-day/emergency service</t>
  </si>
  <si>
    <t>Turn panel, EV and battery work into an electrical-readiness decision funnel.</t>
  </si>
  <si>
    <t>Same-day electrical decision-flow idea for Hertz Electric</t>
  </si>
  <si>
    <t>Hi — I reviewed Hertz Electric’s current services and noticed you combine same-day work with panel upgrades, EV chargers and Powerwall projects. Campaign angle: ‘Before adding an EV charger or battery, make sure the electrical system underneath it is ready.’ I’d turn that into FAQs, upgrade-readiness posts and estimate follow-ups. Same-Day Customer Growth Pack: $150 flat. Want two Hertz-specific examples first?</t>
  </si>
  <si>
    <t>https://thehertzelectric.com/</t>
  </si>
  <si>
    <t>2026-09-12</t>
  </si>
  <si>
    <t>Contact Ready</t>
  </si>
  <si>
    <t>1-800 WATER DAMAGE of West San Jose &amp; Sunnyvale</t>
  </si>
  <si>
    <t>Water / Fire / Mold / Sewage Restoration</t>
  </si>
  <si>
    <t>West San Jose / Sunnyvale, CA</t>
  </si>
  <si>
    <t>Current local franchise pages publish a direct owner email, 24/7 emergency restoration, residential/commercial service, water/fire/mold/sewage work and insurance assistance.</t>
  </si>
  <si>
    <t>(408) 834-7773</t>
  </si>
  <si>
    <t>Murali.Sridharane@1800waterdamage.com</t>
  </si>
  <si>
    <t>Direct owner email; 24/7 emergency business</t>
  </si>
  <si>
    <t>Market first-hour mitigation plus insurance documentation as a calm local decision path.</t>
  </si>
  <si>
    <t>First-hour restoration campaign idea for 1-800 WATER DAMAGE</t>
  </si>
  <si>
    <t>Hi Murali — I reviewed the West San Jose / Sunnyvale pages and saw your local team handles water, fire, mold and sewage emergencies 24/7. Campaign angle: ‘The first hour is about stopping the damage and documenting what happens next.’ I’d turn that into emergency checklists, FAQs and insurance-documentation follow-ups. Same-Day Customer Growth Pack: $150 flat. Want two location-specific examples first?</t>
  </si>
  <si>
    <t>https://www.1800waterdamage.com/west-san-jose-sunnyvale/</t>
  </si>
  <si>
    <t>Ozone Service</t>
  </si>
  <si>
    <t>Electrical / Panel Upgrades</t>
  </si>
  <si>
    <t>Current site advertises 24/7 Bay Area electrical service, free panel-upgrade estimates, no trip/diagnostic fee positioning and written scope/price before work.</t>
  </si>
  <si>
    <t>(669) 323-7077</t>
  </si>
  <si>
    <t>go@serviceozone.com</t>
  </si>
  <si>
    <t>Direct email; 24/7 service; free estimate</t>
  </si>
  <si>
    <t>Make written scope and pricing the trust campaign for upgrades.</t>
  </si>
  <si>
    <t>Panel-upgrade trust campaign idea for Ozone Service</t>
  </si>
  <si>
    <t>Hi — I reviewed Ozone Service’s current electrical pages. You already reduce several homeowner objections with 24/7 availability, free panel-upgrade estimates and written scope before work. I’d turn that into panel-readiness posts, EV/upgrade FAQs and estimate follow-ups. Same-Day Customer Growth Pack: $150 flat. Want two Ozone-specific examples first?</t>
  </si>
  <si>
    <t>https://serviceozone.com/</t>
  </si>
  <si>
    <t>Silicon Valley Building Service and Repair</t>
  </si>
  <si>
    <t>Remodeling / ADU / Additions</t>
  </si>
  <si>
    <t>San Jose / Silicon Valley, CA</t>
  </si>
  <si>
    <t>Official site is current with kitchen/bath/whole-home remodeling, ADUs, additions and garage conversions, free estimates, written fixed-price proposals and a same-day reply expectation.</t>
  </si>
  <si>
    <t>(408) 667-4946</t>
  </si>
  <si>
    <t>info@siliconvalleybuilding.com</t>
  </si>
  <si>
    <t>Direct email; usually same-day reply; free estimate</t>
  </si>
  <si>
    <t>Turn scope-first, fixed-price proposals into a high-ticket remodeling decision campaign.</t>
  </si>
  <si>
    <t>Fixed-price remodeling decision-flow idea for SVBSR</t>
  </si>
  <si>
    <t>Hi — I reviewed SVBSR’s current process and noticed a strong trust angle: free estimate, written scope and fixed-price proposal. Campaign idea: ‘Before committing to a remodel or ADU, make the scope and price understandable.’ I’d build project-planning FAQs, ADU/remodel posts and estimate follow-ups. $150 flat. Want two SVBSR-specific examples first?</t>
  </si>
  <si>
    <t>https://siliconvalleybuilding.com/</t>
  </si>
  <si>
    <t>South San Jose Electric</t>
  </si>
  <si>
    <t>Residential / Commercial Electrical</t>
  </si>
  <si>
    <t>San Jose, CA</t>
  </si>
  <si>
    <t>Current official site publishes a direct email, free estimates and residential/commercial work including panel upgrades, full rewiring and EV chargers, with seven-day availability.</t>
  </si>
  <si>
    <t>(669) 371-5273</t>
  </si>
  <si>
    <t>contact@southsanjoseelectric.com</t>
  </si>
  <si>
    <t>Direct email; seven-day availability; free estimate</t>
  </si>
  <si>
    <t>Build an electrical-capacity readiness campaign around panels, rewiring and EV additions.</t>
  </si>
  <si>
    <t>Electrical-capacity campaign idea for South San Jose Electric</t>
  </si>
  <si>
    <t>Hi — I reviewed South San Jose Electric’s current services. Panel upgrades, rewiring and EV chargers all answer the same question: ‘Is the electrical system ready for what I want to add next?’ I’d turn that into capacity-readiness posts, FAQs and estimate follow-ups. $150 flat. Want two business-specific examples first?</t>
  </si>
  <si>
    <t>https://southsanjoseelectric.com/</t>
  </si>
  <si>
    <t>RoofCraft Inc</t>
  </si>
  <si>
    <t>Roofing</t>
  </si>
  <si>
    <t>Sunnyvale / Bay Area, CA</t>
  </si>
  <si>
    <t>Official pages are current with free estimates/inspections, financing from $1,000 to $100,000, published Bay Area replacement ranges around $12,000–$40,000 and payment after project completion.</t>
  </si>
  <si>
    <t>(408) 904-8900</t>
  </si>
  <si>
    <t>info@roofcraftcompany.com</t>
  </si>
  <si>
    <t>Direct email; high-ticket roofing; financing</t>
  </si>
  <si>
    <t>Use inspection, realistic project ranges and financing education to reduce replacement uncertainty.</t>
  </si>
  <si>
    <t>High-ticket roof decision campaign idea for RoofCraft</t>
  </si>
  <si>
    <t>Hi — I reviewed RoofCraft’s current estimate and financing pages. Publishing inspection guidance and realistic project ranges creates a strong trust angle: ‘Understand the roof condition, project range and financing options before committing.’ I’d build inspection posts, repair-vs-replacement FAQs and estimate follow-ups. $150 flat. Want two RoofCraft-specific examples first?</t>
  </si>
  <si>
    <t>https://roofcraftcompany.com/</t>
  </si>
  <si>
    <t>SERVPRO of Mountain View, Los Altos</t>
  </si>
  <si>
    <t>Water / Fire / Mold / Storm / Construction</t>
  </si>
  <si>
    <t>Sunnyvale / Mountain View / Los Altos, CA</t>
  </si>
  <si>
    <t>Current local SERVPRO pages publish 24/7 emergency service, fire/water/mold/storm restoration, construction and commercial services, a Sunnyvale office and direct office email.</t>
  </si>
  <si>
    <t>(650) 770-2992</t>
  </si>
  <si>
    <t>office@SERVPROmtview.com</t>
  </si>
  <si>
    <t>Direct office email; 24/7 emergency service</t>
  </si>
  <si>
    <t>Explain mitigation-to-reconstruction continuity and commercial response in plain language.</t>
  </si>
  <si>
    <t>Mitigation-to-rebuild campaign idea for SERVPRO Mountain View</t>
  </si>
  <si>
    <t>Hi — I reviewed your local SERVPRO pages and noticed the team handles both emergency mitigation and reconstruction, plus commercial losses. Campaign angle: ‘Stop the damage first, then keep recovery moving without making the customer restart the process.’ I’d build first-hour checklists, commercial-response posts and reconstruction FAQs. $150 flat. Want two local examples first?</t>
  </si>
  <si>
    <t>https://www.servpromountainviewlosaltos.com/</t>
  </si>
  <si>
    <t>Courtesy Electric</t>
  </si>
  <si>
    <t>Electrical / Remodel / Service Upgrades</t>
  </si>
  <si>
    <t>Sunnyvale / South Bay, CA</t>
  </si>
  <si>
    <t>Official site publishes owner-operated electrical service, free estimates, new construction, remodeling, service upgrades and lighting, plus a direct business email.</t>
  </si>
  <si>
    <t>(408) 509-1017</t>
  </si>
  <si>
    <t>mike@courtesyelectric.us</t>
  </si>
  <si>
    <t>Direct owner/business email; free estimate</t>
  </si>
  <si>
    <t>Use owner-operated accountability plus upgrade/remodel scope clarity.</t>
  </si>
  <si>
    <t>Service-upgrade campaign idea for Courtesy Electric</t>
  </si>
  <si>
    <t>Hi Mike — I reviewed Courtesy Electric’s current services and think the owner-operated positioning can do more work in the marketing. Campaign angle: ‘For a remodel or service upgrade, know who is responsible for the electrical scope from estimate through completion.’ I’d build upgrade FAQs, remodel posts and estimate follow-ups. $150 flat. Want two Courtesy-specific examples first?</t>
  </si>
  <si>
    <t>https://courtesyelectric.us/</t>
  </si>
  <si>
    <t>408 Builders Inc</t>
  </si>
  <si>
    <t>Remodeling / ADU / New Construction</t>
  </si>
  <si>
    <t>Official pages publish kitchen/bath remodeling, ADUs and new-home construction, free on-site estimates, detailed proposals and a stated reply within one business day.</t>
  </si>
  <si>
    <t>(408) 609-1643</t>
  </si>
  <si>
    <t>info@408buildersinc.com</t>
  </si>
  <si>
    <t>Direct email; reply within one business day; free estimate</t>
  </si>
  <si>
    <t>Build a consultation-to-detailed-proposal funnel for high-ticket ADU/remodel leads.</t>
  </si>
  <si>
    <t>ADU + remodeling proposal-funnel idea for 408 Builders</t>
  </si>
  <si>
    <t>Hi — I reviewed 408 Builders’ current process and noticed you already give prospects a useful path: free on-site estimate followed by a detailed proposal. I’d turn that into ADU FAQs, project-planning posts and consultation follow-ups. Same-Day Customer Growth Pack: $150 flat. Want two 408 Builders-specific examples first?</t>
  </si>
  <si>
    <t>https://408buildersinc.com/</t>
  </si>
  <si>
    <t>AYH Remodeling &amp; Construction Inc</t>
  </si>
  <si>
    <t>Current site publishes free estimates, remodeling, ADUs/additions, structural and permit services, a direct email and Monday–Saturday 7 AM–7 PM hours.</t>
  </si>
  <si>
    <t>833-408-5179</t>
  </si>
  <si>
    <t>ayhremodelingandconstruction@gmail.com</t>
  </si>
  <si>
    <t>Direct email; Mon–Sat; free estimate</t>
  </si>
  <si>
    <t>Use permit, structural and build coordination to simplify the ADU/addition decision.</t>
  </si>
  <si>
    <t>ADU permit-to-build campaign idea for AYH</t>
  </si>
  <si>
    <t>Hi — I reviewed AYH’s current services and noticed you cover the parts homeowners often find most confusing on an ADU or addition: structural work, permits and construction. I’d turn that into ADU FAQs, permit/process posts and estimate follow-ups. Same-Day Customer Growth Pack: $150 flat. Want two AYH-specific examples first?</t>
  </si>
  <si>
    <t>https://ayhremodeling.com/</t>
  </si>
  <si>
    <t>Pylon Builders</t>
  </si>
  <si>
    <t>Remodeling / ADU / Design-Build</t>
  </si>
  <si>
    <t>Current site publishes premium remodeling/ADU services, free in-home consultations, a current 2026 ADU cost guide and direct business email.</t>
  </si>
  <si>
    <t>(650) 800-9755</t>
  </si>
  <si>
    <t>info@pylonbuilders.com</t>
  </si>
  <si>
    <t>Direct email; free in-home consultation</t>
  </si>
  <si>
    <t>Turn the current 2026 ADU cost guide into consultation-driving education.</t>
  </si>
  <si>
    <t>2026 ADU cost-guide campaign idea for Pylon Builders</t>
  </si>
  <si>
    <t>Hi — I reviewed Pylon Builders’ current ADU content and saw the 2026 cost guide alongside your free in-home consultation. Campaign angle: ‘Use real planning ranges to decide whether an ADU is worth designing before you commit.’ I’d build cost/feasibility posts, ADU FAQs and consultation follow-ups. $150 flat. Want two Pylon-specific examples first?</t>
  </si>
  <si>
    <t>https://pylonbuilders.com/</t>
  </si>
  <si>
    <t>Home Pro Roofing and Solar</t>
  </si>
  <si>
    <t>Roofing / Solar / Battery / EV</t>
  </si>
  <si>
    <t>Current contact page advertises free estimates within 24 hours and offers through Sep 15, 2026: $250 off a full roof replacement and $1,500 off a roof + solar combo.</t>
  </si>
  <si>
    <t>(800) 650-3134</t>
  </si>
  <si>
    <t>Phone/web form; seven-day availability; Sep 15 deadline</t>
  </si>
  <si>
    <t>Use the Sep 15 roof+solar deadline to explain bundling readiness rather than repeating a discount.</t>
  </si>
  <si>
    <t>Sep 15 roof + solar campaign idea for Home Pro</t>
  </si>
  <si>
    <t>Hi — I reviewed Home Pro’s current page and saw the roof and roof-plus-solar offers run through September 15. Campaign angle: ‘If the roof and solar system will live together for years, plan them as one project before installation.’ I’d build roof-readiness posts, solar/battery FAQs and offer follow-ups. $150 flat. Want two Home Pro-specific examples first?</t>
  </si>
  <si>
    <t>https://homeproroofingandsolar.com/contact/</t>
  </si>
  <si>
    <t>Foundation Repair of California</t>
  </si>
  <si>
    <t>Foundation / Concrete / Crawl Space</t>
  </si>
  <si>
    <t>Current San Jose pages advertise free expert inspections, financing, concrete/foundation services and current qualifying-project savings; financing pages describe large-project lender options.</t>
  </si>
  <si>
    <t>(925) 961-9012</t>
  </si>
  <si>
    <t>Phone/web form; free inspection; financing</t>
  </si>
  <si>
    <t>Build inspection-first education around cracks, settlement and financing without fear-based claims.</t>
  </si>
  <si>
    <t>Foundation inspection decision-flow idea</t>
  </si>
  <si>
    <t>Hi — I reviewed your current San Jose pages and think the free inspection can support a stronger campaign than generic foundation-problem advertising. Angle: ‘Start with evidence of what is moving, why, and what actually needs repair.’ I’d build symptom FAQs, inspection-prep posts and estimate follow-ups. $150 flat. Want two business-specific examples first?</t>
  </si>
  <si>
    <t>https://www.foundationrepairofca.com/service-areas/san-jose-ca/</t>
  </si>
  <si>
    <t>Bentson Window &amp; Door</t>
  </si>
  <si>
    <t>Windows / Doors</t>
  </si>
  <si>
    <t>San Jose / Campbell / Sunnyvale, CA</t>
  </si>
  <si>
    <t>Current official pages publish free in-home estimates, itemized estimates typically within 24 hours, flexible financing including qualified 0% APR promotions and limited savings for 5+ windows.</t>
  </si>
  <si>
    <t>(408) 479-7960</t>
  </si>
  <si>
    <t>Phone/web form; 24-hour estimate target; financing</t>
  </si>
  <si>
    <t>Use the itemized 24-hour estimate as the trust hook for multi-window replacement.</t>
  </si>
  <si>
    <t>24-hour window-estimate campaign idea</t>
  </si>
  <si>
    <t>Hi — I reviewed Bentson’s current estimate process and noticed you typically provide an itemized estimate within 24 hours. Campaign angle: ‘Before replacing several windows, know the itemized scope, efficiency choices and financing options.’ I’d build comparison FAQs, estimate follow-ups and financing education. $150 flat. Want two Bentson-specific examples first?</t>
  </si>
  <si>
    <t>https://bentsonwindows.com/</t>
  </si>
  <si>
    <t>Trio Roofers</t>
  </si>
  <si>
    <t>Residential / Commercial Roofing</t>
  </si>
  <si>
    <t>Current San Jose pages advertise free inspections, residential/commercial/emergency roofing, 24/7 emergency availability and $0-upfront financing positioning. No tax-credit claim is used.</t>
  </si>
  <si>
    <t>(408) 886-9287</t>
  </si>
  <si>
    <t>Phone/web form; 24/7 emergency; free inspection</t>
  </si>
  <si>
    <t>Use free inspection plus financing as a proof-before-purchase sequence.</t>
  </si>
  <si>
    <t>Free-inspection roofing funnel idea for Trio</t>
  </si>
  <si>
    <t>Hi — I reviewed Trio Roofers’ current San Jose pages. The strongest customer story is the decision sequence: ‘Inspect first. See the scope. Then decide how to fund the project.’ I’d build inspection posts, repair-vs-replacement FAQs and financing follow-ups. $150 flat. Want two Trio-specific examples first?</t>
  </si>
  <si>
    <t>https://trioroofers.com/san-jose/</t>
  </si>
  <si>
    <t>Foundation Strategies &amp; Construction</t>
  </si>
  <si>
    <t>Foundation / Waterproofing / Structural</t>
  </si>
  <si>
    <t>San Jose / Sunnyvale, CA</t>
  </si>
  <si>
    <t>Current pages publish free no-pressure inspections/estimates, foundation and waterproofing services, financing options and structural/new-foundation work in the South Bay.</t>
  </si>
  <si>
    <t>(408) 320-7433</t>
  </si>
  <si>
    <t>Turn no-pressure inspection plus structural explanation into trust-focused content.</t>
  </si>
  <si>
    <t>No-pressure foundation inspection campaign idea</t>
  </si>
  <si>
    <t>Hi — I reviewed Foundation Strategies’ current South Bay pages and noticed you emphasize free, no-pressure inspections alongside structural and waterproofing work. Campaign angle: ‘Understand the cause and repair options before deciding whether a foundation project is actually necessary.’ I’d build crack/settlement FAQs and estimate follow-ups. $150 flat. Want two examples first?</t>
  </si>
  <si>
    <t>https://foundationstrategies.com/</t>
  </si>
  <si>
    <t>Jackson Electric</t>
  </si>
  <si>
    <t>Electrical / Panel / EV</t>
  </si>
  <si>
    <t>Current site says emergency calls are prioritized, panel-upgrade and EV-charger quotes are usually returned within one business day, and the company has operated locally since 1989.</t>
  </si>
  <si>
    <t>(408) 266-5351</t>
  </si>
  <si>
    <t>Phone/web form; one-business-day quote target</t>
  </si>
  <si>
    <t>Use long local history plus fast quotes to clarify panel/EV upgrades.</t>
  </si>
  <si>
    <t>One-day electrical quote campaign idea for Jackson Electric</t>
  </si>
  <si>
    <t>Hi — I reviewed Jackson Electric’s current services and noticed you pair long local history with a practical advantage: panel-upgrade and EV-charger quotes are usually turned around within one business day. I’d build panel/EV FAQs, quote follow-ups and capacity-readiness posts. $150 flat. Want two Jackson-specific examples first?</t>
  </si>
  <si>
    <t>https://jacksonelectric.com/</t>
  </si>
  <si>
    <t>Atlas Trillo</t>
  </si>
  <si>
    <t>HVAC / Plumbing</t>
  </si>
  <si>
    <t>Current site has September residential offers through Sep 30, including a $59 seasonal HVAC tune-up and $50 off qualifying service repair, alongside HVAC and plumbing services.</t>
  </si>
  <si>
    <t>(408) 444-9511</t>
  </si>
  <si>
    <t>Phone/web form; active Sep 30 offers</t>
  </si>
  <si>
    <t>Use the tune-up as a diagnostic/decision campaign rather than coupon-only advertising.</t>
  </si>
  <si>
    <t>September HVAC tune-up campaign idea for Atlas Trillo</t>
  </si>
  <si>
    <t>Hi — I checked Atlas Trillo’s current September offers and saw the seasonal HVAC tune-up and repair savings are live through September 30. Campaign angle: ‘Use the tune-up to learn what actually needs attention before peak heating season.’ I’d build symptom posts, tune-up FAQs and repair follow-ups. $150 flat. Want two examples first?</t>
  </si>
  <si>
    <t>https://www.atlastrillo.com/specials/</t>
  </si>
  <si>
    <t>Rooter Hero Plumbing &amp; Air of San Jose</t>
  </si>
  <si>
    <t>Plumbing / Drain / HVAC</t>
  </si>
  <si>
    <t>Current San Jose pages publish 24/7 service and active Sep 1–30 residential promotions including drain/camera-inspection and qualifying repair savings. Expired commercial promotions are excluded.</t>
  </si>
  <si>
    <t>(408) 703-6715</t>
  </si>
  <si>
    <t>24/7 phone/web; active Sep 30 residential offers</t>
  </si>
  <si>
    <t>Turn drain-camera and repair offers into see-the-problem-before-choosing-the-repair education.</t>
  </si>
  <si>
    <t>Drain-camera decision campaign idea for Rooter Hero</t>
  </si>
  <si>
    <t>Hi — I reviewed Rooter Hero San Jose’s current September residential offers and think the camera-inspection angle supports a better campaign than discount-only messaging: ‘See what is causing the drain problem before choosing the repair.’ I’d build diagnosis posts, FAQs and service follow-ups. $150 flat. Want two San Jose-specific examples first?</t>
  </si>
  <si>
    <t>https://rooterhero.com/san-jose/</t>
  </si>
  <si>
    <t>Home Additions San Jose</t>
  </si>
  <si>
    <t>Home Additions / ADU / Remodeling</t>
  </si>
  <si>
    <t>Current site publishes free estimates, home additions, ADUs and second-story work, a direct email, Monday–Saturday service and Sunday appointments.</t>
  </si>
  <si>
    <t>info@homeadditionssanjose.com</t>
  </si>
  <si>
    <t>Direct email; free estimate; Mon–Sat + Sunday by appointment</t>
  </si>
  <si>
    <t>Use feasibility-to-estimate planning as a high-ticket addition/ADU funnel.</t>
  </si>
  <si>
    <t>Addition + ADU feasibility campaign idea</t>
  </si>
  <si>
    <t>Hi — I reviewed Home Additions San Jose’s current services and saw you cover additions, ADUs and second-story projects with free estimates. Campaign angle: ‘Before designing a major addition, establish what is feasible, what needs permitting and what the project scope should include.’ I’d build feasibility FAQs and estimate follow-ups. $150 flat. Want two examples first?</t>
  </si>
  <si>
    <t>https://homeadditionssanjose.com/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</si>
  <si>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</si>
  <si>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</si>
  <si>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</si>
  <si>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</si>
  <si>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</si>
  <si>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</si>
  <si>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</si>
  <si>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</si>
  <si>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</si>
  <si>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</si>
  <si>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</si>
  <si>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</si>
  <si>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</si>
  <si>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</si>
  <si>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</si>
  <si>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</si>
  <si>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</si>
  <si>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</si>
  <si>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</si>
  <si>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</si>
  <si>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</si>
  <si>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</si>
  <si>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</si>
  <si>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</si>
  <si>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</si>
  <si>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</si>
  <si>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</si>
  <si>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</si>
  <si>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</si>
  <si>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</si>
  <si>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</si>
  <si>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</si>
  <si>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</si>
  <si>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</si>
  <si>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</si>
  <si>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</si>
  <si>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</si>
  <si>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</si>
  <si>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</si>
  <si>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</si>
  <si>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</si>
  <si>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</si>
  <si>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</si>
  <si>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</si>
  <si>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</si>
  <si>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</si>
  <si>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</si>
  <si>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</si>
  <si>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</si>
  <si>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</si>
  <si>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</si>
  <si>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</si>
  <si>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</si>
  <si>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</si>
  <si>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</si>
  <si>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</si>
  <si>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Offer Value $</t>
  </si>
  <si>
    <t>New verified lead added 2026-09-12; no outreach recorded. Use individualized initial pitch.</t>
  </si>
  <si>
    <t>FloodDry Water Damage Restoration</t>
  </si>
  <si>
    <t>Follow-up</t>
  </si>
  <si>
    <t>email</t>
  </si>
  <si>
    <t>2026-09-05T22:50:24-07:00</t>
  </si>
  <si>
    <t>2026-09-08</t>
  </si>
  <si>
    <t>2026-09-08T16:45:47-07:00</t>
  </si>
  <si>
    <t>Contacted</t>
  </si>
  <si>
    <t>Two verified outbound emails, no inbound reply found through 2026-09-12. Do not send another cold touch now.</t>
  </si>
  <si>
    <t>Therma Tech</t>
  </si>
  <si>
    <t>2026-09-05T20:01:38-07:00</t>
  </si>
  <si>
    <t>2026-09-07</t>
  </si>
  <si>
    <t>2026-09-07T13:35:02-07:00</t>
  </si>
  <si>
    <t>2026-09-07T14:19:35-07:00</t>
  </si>
  <si>
    <t>Three verified outbound emails across two connected Gmail accounts; no inbound reply found through 2026-09-12. Stop cold follow-up unless they reply.</t>
  </si>
  <si>
    <t>Dansel Restoration</t>
  </si>
  <si>
    <t>2026-09-05T22:49:58-07:00</t>
  </si>
  <si>
    <t>2026-09-09</t>
  </si>
  <si>
    <t>One verified outbound email; no inbound reply found through 2026-09-12. One final respectful follow-up is permissible, then stop unless they reply.</t>
  </si>
  <si>
    <t>California First Roofing</t>
  </si>
  <si>
    <t>2026-09-05T22:39:21-07:00</t>
  </si>
  <si>
    <t>US Creative Restoration</t>
  </si>
  <si>
    <t>2026-09-05T22:53:01-07:00</t>
  </si>
  <si>
    <t>One verified outbound email; no reply found through 2026-09-12. Eligible for at most one respectful follow-up.</t>
  </si>
  <si>
    <t>WJM Builders</t>
  </si>
  <si>
    <t>2026-09-06T03:30:53-07:00</t>
  </si>
  <si>
    <t>2026-09-10</t>
  </si>
  <si>
    <t>Clean Roofing</t>
  </si>
  <si>
    <t>2026-09-06T03:42:04-07:00</t>
  </si>
  <si>
    <t>Solar Energy Consultants</t>
  </si>
  <si>
    <t>2026-09-06T03:25:44-07:00</t>
  </si>
  <si>
    <t>Mayer's Construction</t>
  </si>
  <si>
    <t>2026-09-06T03:31:58-07:00</t>
  </si>
  <si>
    <t>EVS Mechanical</t>
  </si>
  <si>
    <t>2026-09-06T03:32:27-07:00</t>
  </si>
  <si>
    <t>Dueling Trowels Concrete Solutions</t>
  </si>
  <si>
    <t>2026-09-05T22:39:44-07:00</t>
  </si>
  <si>
    <t>2026-09-06T03:20:39-07:00</t>
  </si>
  <si>
    <t>Two verified outbound emails; no reply found through 2026-09-12. Do not send another cold touch now.</t>
  </si>
  <si>
    <t>GBD Concrete</t>
  </si>
  <si>
    <t>2026-09-05T22:54:30-07:00</t>
  </si>
  <si>
    <t>John Molina Concrete</t>
  </si>
  <si>
    <t>2026-09-05T22:46:13-07:00</t>
  </si>
  <si>
    <t>Precision Concrete Inc</t>
  </si>
  <si>
    <t>2026-09-05T22:40:53-07:00</t>
  </si>
  <si>
    <t>One Day Complete Repipe</t>
  </si>
  <si>
    <t>2026-09-05T22:35:59-07:00</t>
  </si>
  <si>
    <t>First Touch Evidence</t>
  </si>
  <si>
    <t>FU1 Evidence</t>
  </si>
  <si>
    <t>FU2 Evidence</t>
  </si>
  <si>
    <t>Gmail sent message 1a074aa18c4a15e5</t>
  </si>
  <si>
    <t>Gmail sent message 1a07d94dc355abc7</t>
  </si>
  <si>
    <t>Gmail sent message 1a07dbda8027b039</t>
  </si>
  <si>
    <t>Gmail sent message 1a07537695be159d</t>
  </si>
  <si>
    <t>Gmail sent message 1a0753a7d53e5a5c</t>
  </si>
  <si>
    <t>Gmail sent message 1a0753ad793984cf</t>
  </si>
  <si>
    <t>Gmail sent message 1a0763c06f9e9dc5</t>
  </si>
  <si>
    <t>Gmail sent message 1a0753be59b49989</t>
  </si>
  <si>
    <t>Gmail sent message 1a07540c8b9fd4bc</t>
  </si>
  <si>
    <t>Gmail sent message 1a075443349aa830</t>
  </si>
  <si>
    <t>Gmail sent message 1a075449a2403271</t>
  </si>
  <si>
    <t>Gmail sent message 1a08369d9f6b09c0</t>
  </si>
  <si>
    <t>Gmail sent message 1a0754701539a56d</t>
  </si>
  <si>
    <t>Gmail sent message 1a075485ca2a3fef</t>
  </si>
  <si>
    <t>Precision Heating &amp; Cooling</t>
  </si>
  <si>
    <t>2026-09-06T01:37:52-07:00</t>
  </si>
  <si>
    <t>Gmail sent message 1a075ddee6716e8a</t>
  </si>
  <si>
    <t>Historical send discovered during Sep 12 audit; no reply found in connected Gmail search.</t>
  </si>
  <si>
    <t>Gmail sent message 1a07640ae5a69379</t>
  </si>
  <si>
    <t>Gmail sent message 1a076456505c6304</t>
  </si>
  <si>
    <t>Gmail sent message 1a0764664a2b1202</t>
  </si>
  <si>
    <t>Gmail sent message 1a07646d6dbd3474</t>
  </si>
  <si>
    <t>Gmail sent message 1a0764fa024df1f4</t>
  </si>
  <si>
    <t>Archived</t>
  </si>
  <si>
    <t>Leader Restoration</t>
  </si>
  <si>
    <t>Rotated out of fresh queue 2026-09-12; no outreach found in connected Gmail checks.</t>
  </si>
  <si>
    <t>CostLess Heating &amp; Cooling</t>
  </si>
  <si>
    <t>2026-09-06</t>
  </si>
  <si>
    <t>Los Gatos Roofing</t>
  </si>
  <si>
    <t>Roofs By Reveille, Inc</t>
  </si>
  <si>
    <t>A1 Restoration</t>
  </si>
  <si>
    <t>911 Restoration of San Jose</t>
  </si>
  <si>
    <t>Any Hour Water and Fire</t>
  </si>
  <si>
    <t>IRBIS Air Plumbing Electrical</t>
  </si>
  <si>
    <t>Use official web/phone route; no direct email re-verified 2026-09-09.</t>
  </si>
  <si>
    <t>California Water and Fire</t>
  </si>
  <si>
    <t>Infinium Solar, Roofing and Electric</t>
  </si>
  <si>
    <t>Lifetime Roofing &amp; Renovation, Inc.</t>
  </si>
  <si>
    <t>ROOF EXPRESS</t>
  </si>
  <si>
    <t>South Bay Roofing CO</t>
  </si>
  <si>
    <t>Eastman Roofing &amp; Waterproofing, Inc.</t>
  </si>
  <si>
    <t>The Roofer Bros</t>
  </si>
  <si>
    <t>Roof By Tom</t>
  </si>
  <si>
    <t>FairPrice Heating &amp; Cooling</t>
  </si>
  <si>
    <t>Galaxy Heating &amp; Air Conditioning</t>
  </si>
  <si>
    <t>Air &amp; Plumbing Systems</t>
  </si>
  <si>
    <t>2026-09-11</t>
  </si>
  <si>
    <t>Archived from active Top 10 on 2026-09-11; no outreach recorded.</t>
  </si>
  <si>
    <t>Top Tier Roofing</t>
  </si>
  <si>
    <t>Verified Date</t>
  </si>
  <si>
    <t>Direct Contact</t>
  </si>
  <si>
    <t>Reverify Rule</t>
  </si>
  <si>
    <t>Reverify time-sensitive offers, hours, financing, ETA, response-time claims, and contact details before outreach.</t>
  </si>
  <si>
    <t>SAME-DAY CUSTOMER GROWTH PACK — LIVE PIPELINE</t>
  </si>
  <si>
    <t>Metric</t>
  </si>
  <si>
    <t>Value</t>
  </si>
  <si>
    <t>Commercial Metric</t>
  </si>
  <si>
    <t>Meaning</t>
  </si>
  <si>
    <t>Replied</t>
  </si>
  <si>
    <t>Negotiating</t>
  </si>
  <si>
    <t>Won/Paid</t>
  </si>
  <si>
    <t>Nominal Offer Value</t>
  </si>
  <si>
    <t>Potential at the standard package price; not booked revenue.</t>
  </si>
  <si>
    <t>Actual Quoted $</t>
  </si>
  <si>
    <t>Only real negotiated/quoted dollars.</t>
  </si>
  <si>
    <t>Paid Revenue</t>
  </si>
  <si>
    <t>Only actual payments.</t>
  </si>
  <si>
    <t>Response Rate</t>
  </si>
  <si>
    <t>Replies divided by records with a real first touch.</t>
  </si>
  <si>
    <t>Close Rate</t>
  </si>
  <si>
    <t>Wins divided by records with a real first touch.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</si>
  <si>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</si>
  <si>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</si>
  <si>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</si>
  <si>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</si>
  <si>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</si>
  <si>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</si>
  <si>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</si>
  <si>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</si>
  <si>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Fresh means fresh</t>
  </si>
  <si>
    <t>Before a prospect enters New Lead Queue, verify it and check connected Gmail history for prior contact.</t>
  </si>
  <si>
    <t>Evidence</t>
  </si>
  <si>
    <t>Every current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</si>
  <si>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</si>
  <si>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</si>
  <si>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</si>
  <si>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quote, payment, customer, revenue, or fulfillment unless it actually occurred.</t>
  </si>
  <si>
    <t>Offer value</t>
  </si>
  <si>
    <t>The standard package price is potential value, not quoted pipeline or revenue.</t>
  </si>
  <si>
    <t>Initial cold contact + max two respectful cold follow-ups; stop sooner on decline/opt-out and avoid duplicate account touches.</t>
  </si>
  <si>
    <t>Claims</t>
  </si>
  <si>
    <t>No guaranteed leads, ROI, rankings, bookings, response rates, or revenue.</t>
  </si>
  <si>
    <t>Workbook generation</t>
  </si>
  <si>
    <t>GitHub Actions regenerates this XLSX from the live feed + truth-preserving pipeline history.</t>
  </si>
  <si>
    <t>Refresh Date</t>
  </si>
  <si>
    <t>Fresh Leads</t>
  </si>
  <si>
    <t>Observed Contact Records</t>
  </si>
  <si>
    <t>Archived Records</t>
  </si>
  <si>
    <t>Notes</t>
  </si>
  <si>
    <t>Generated from the verified lead feed and preserved pipeline history. Unobserved outcomes remain zero/blank.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</si>
</sst>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/>
    </xf>
    <xf numFmtId="0" fontId="1" fillId="3" borderId="1" xfId="0" applyFont="1" applyFill="1" applyBorder="1" applyAlignment="1">
      <alignment wrapText="1"/>
    </xf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thehertzelectric.com/" TargetMode="External"/><Relationship Id="rId2" Type="http://schemas.openxmlformats.org/officeDocument/2006/relationships/hyperlink" Target="https://www.1800waterdamage.com/west-san-jose-sunnyvale/" TargetMode="External"/><Relationship Id="rId3" Type="http://schemas.openxmlformats.org/officeDocument/2006/relationships/hyperlink" Target="https://serviceozone.com/" TargetMode="External"/><Relationship Id="rId4" Type="http://schemas.openxmlformats.org/officeDocument/2006/relationships/hyperlink" Target="https://siliconvalleybuilding.com/" TargetMode="External"/><Relationship Id="rId5" Type="http://schemas.openxmlformats.org/officeDocument/2006/relationships/hyperlink" Target="https://southsanjoseelectric.com/" TargetMode="External"/><Relationship Id="rId6" Type="http://schemas.openxmlformats.org/officeDocument/2006/relationships/hyperlink" Target="https://roofcraftcompany.com/" TargetMode="External"/><Relationship Id="rId7" Type="http://schemas.openxmlformats.org/officeDocument/2006/relationships/hyperlink" Target="https://www.servpromountainviewlosaltos.com/" TargetMode="External"/><Relationship Id="rId8" Type="http://schemas.openxmlformats.org/officeDocument/2006/relationships/hyperlink" Target="https://courtesyelectric.us/" TargetMode="External"/><Relationship Id="rId9" Type="http://schemas.openxmlformats.org/officeDocument/2006/relationships/hyperlink" Target="https://408buildersinc.com/" TargetMode="External"/><Relationship Id="rId10" Type="http://schemas.openxmlformats.org/officeDocument/2006/relationships/hyperlink" Target="https://ayhremodeling.com/" TargetMode="External"/><Relationship Id="rId11" Type="http://schemas.openxmlformats.org/officeDocument/2006/relationships/hyperlink" Target="https://pylonbuilders.com/" TargetMode="External"/><Relationship Id="rId12" Type="http://schemas.openxmlformats.org/officeDocument/2006/relationships/hyperlink" Target="https://homeproroofingandsolar.com/contact/" TargetMode="External"/><Relationship Id="rId13" Type="http://schemas.openxmlformats.org/officeDocument/2006/relationships/hyperlink" Target="https://www.foundationrepairofca.com/service-areas/san-jose-ca/" TargetMode="External"/><Relationship Id="rId14" Type="http://schemas.openxmlformats.org/officeDocument/2006/relationships/hyperlink" Target="https://bentsonwindows.com/" TargetMode="External"/><Relationship Id="rId15" Type="http://schemas.openxmlformats.org/officeDocument/2006/relationships/hyperlink" Target="https://trioroofers.com/san-jose/" TargetMode="External"/><Relationship Id="rId16" Type="http://schemas.openxmlformats.org/officeDocument/2006/relationships/hyperlink" Target="https://foundationstrategies.com/" TargetMode="External"/><Relationship Id="rId17" Type="http://schemas.openxmlformats.org/officeDocument/2006/relationships/hyperlink" Target="https://jacksonelectric.com/" TargetMode="External"/><Relationship Id="rId18" Type="http://schemas.openxmlformats.org/officeDocument/2006/relationships/hyperlink" Target="https://www.atlastrillo.com/specials/" TargetMode="External"/><Relationship Id="rId19" Type="http://schemas.openxmlformats.org/officeDocument/2006/relationships/hyperlink" Target="https://rooterhero.com/san-jose/" TargetMode="External"/><Relationship Id="rId20" Type="http://schemas.openxmlformats.org/officeDocument/2006/relationships/hyperlink" Target="https://homeadditionssanjose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thehertzelectric.com/" TargetMode="External"/><Relationship Id="rId2" Type="http://schemas.openxmlformats.org/officeDocument/2006/relationships/hyperlink" Target="https://www.1800waterdamage.com/west-san-jose-sunnyvale/" TargetMode="External"/><Relationship Id="rId3" Type="http://schemas.openxmlformats.org/officeDocument/2006/relationships/hyperlink" Target="https://serviceozone.com/" TargetMode="External"/><Relationship Id="rId4" Type="http://schemas.openxmlformats.org/officeDocument/2006/relationships/hyperlink" Target="https://siliconvalleybuilding.com/" TargetMode="External"/><Relationship Id="rId5" Type="http://schemas.openxmlformats.org/officeDocument/2006/relationships/hyperlink" Target="https://southsanjoseelectric.com/" TargetMode="External"/><Relationship Id="rId6" Type="http://schemas.openxmlformats.org/officeDocument/2006/relationships/hyperlink" Target="https://roofcraftcompany.com/" TargetMode="External"/><Relationship Id="rId7" Type="http://schemas.openxmlformats.org/officeDocument/2006/relationships/hyperlink" Target="https://www.servpromountainviewlosaltos.com/" TargetMode="External"/><Relationship Id="rId8" Type="http://schemas.openxmlformats.org/officeDocument/2006/relationships/hyperlink" Target="https://courtesyelectric.us/" TargetMode="External"/><Relationship Id="rId9" Type="http://schemas.openxmlformats.org/officeDocument/2006/relationships/hyperlink" Target="https://408buildersinc.com/" TargetMode="External"/><Relationship Id="rId10" Type="http://schemas.openxmlformats.org/officeDocument/2006/relationships/hyperlink" Target="https://ayhremodeling.com/" TargetMode="External"/><Relationship Id="rId11" Type="http://schemas.openxmlformats.org/officeDocument/2006/relationships/hyperlink" Target="https://pylonbuilders.com/" TargetMode="External"/><Relationship Id="rId12" Type="http://schemas.openxmlformats.org/officeDocument/2006/relationships/hyperlink" Target="https://homeproroofingandsolar.com/contact/" TargetMode="External"/><Relationship Id="rId13" Type="http://schemas.openxmlformats.org/officeDocument/2006/relationships/hyperlink" Target="https://www.foundationrepairofca.com/service-areas/san-jose-ca/" TargetMode="External"/><Relationship Id="rId14" Type="http://schemas.openxmlformats.org/officeDocument/2006/relationships/hyperlink" Target="https://bentsonwindows.com/" TargetMode="External"/><Relationship Id="rId15" Type="http://schemas.openxmlformats.org/officeDocument/2006/relationships/hyperlink" Target="https://trioroofers.com/san-jose/" TargetMode="External"/><Relationship Id="rId16" Type="http://schemas.openxmlformats.org/officeDocument/2006/relationships/hyperlink" Target="https://foundationstrategies.com/" TargetMode="External"/><Relationship Id="rId17" Type="http://schemas.openxmlformats.org/officeDocument/2006/relationships/hyperlink" Target="https://jacksonelectric.com/" TargetMode="External"/><Relationship Id="rId18" Type="http://schemas.openxmlformats.org/officeDocument/2006/relationships/hyperlink" Target="https://www.atlastrillo.com/specials/" TargetMode="External"/><Relationship Id="rId19" Type="http://schemas.openxmlformats.org/officeDocument/2006/relationships/hyperlink" Target="https://rooterhero.com/san-jose/" TargetMode="External"/><Relationship Id="rId20" Type="http://schemas.openxmlformats.org/officeDocument/2006/relationships/hyperlink" Target="https://homeadditionssanjose.com/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thehertzelectric.com/" TargetMode="External"/><Relationship Id="rId2" Type="http://schemas.openxmlformats.org/officeDocument/2006/relationships/hyperlink" Target="https://www.1800waterdamage.com/west-san-jose-sunnyvale/" TargetMode="External"/><Relationship Id="rId3" Type="http://schemas.openxmlformats.org/officeDocument/2006/relationships/hyperlink" Target="https://serviceozone.com/" TargetMode="External"/><Relationship Id="rId4" Type="http://schemas.openxmlformats.org/officeDocument/2006/relationships/hyperlink" Target="https://siliconvalleybuilding.com/" TargetMode="External"/><Relationship Id="rId5" Type="http://schemas.openxmlformats.org/officeDocument/2006/relationships/hyperlink" Target="https://southsanjoseelectric.com/" TargetMode="External"/><Relationship Id="rId6" Type="http://schemas.openxmlformats.org/officeDocument/2006/relationships/hyperlink" Target="https://roofcraftcompany.com/" TargetMode="External"/><Relationship Id="rId7" Type="http://schemas.openxmlformats.org/officeDocument/2006/relationships/hyperlink" Target="https://www.servpromountainviewlosaltos.com/" TargetMode="External"/><Relationship Id="rId8" Type="http://schemas.openxmlformats.org/officeDocument/2006/relationships/hyperlink" Target="https://courtesyelectric.us/" TargetMode="External"/><Relationship Id="rId9" Type="http://schemas.openxmlformats.org/officeDocument/2006/relationships/hyperlink" Target="https://408buildersinc.com/" TargetMode="External"/><Relationship Id="rId10" Type="http://schemas.openxmlformats.org/officeDocument/2006/relationships/hyperlink" Target="https://ayhremodeling.com/" TargetMode="External"/><Relationship Id="rId11" Type="http://schemas.openxmlformats.org/officeDocument/2006/relationships/hyperlink" Target="https://pylonbuilders.com/" TargetMode="External"/><Relationship Id="rId12" Type="http://schemas.openxmlformats.org/officeDocument/2006/relationships/hyperlink" Target="https://homeproroofingandsolar.com/contact/" TargetMode="External"/><Relationship Id="rId13" Type="http://schemas.openxmlformats.org/officeDocument/2006/relationships/hyperlink" Target="https://www.foundationrepairofca.com/service-areas/san-jose-ca/" TargetMode="External"/><Relationship Id="rId14" Type="http://schemas.openxmlformats.org/officeDocument/2006/relationships/hyperlink" Target="https://bentsonwindows.com/" TargetMode="External"/><Relationship Id="rId15" Type="http://schemas.openxmlformats.org/officeDocument/2006/relationships/hyperlink" Target="https://trioroofers.com/san-jose/" TargetMode="External"/><Relationship Id="rId16" Type="http://schemas.openxmlformats.org/officeDocument/2006/relationships/hyperlink" Target="https://foundationstrategies.com/" TargetMode="External"/><Relationship Id="rId17" Type="http://schemas.openxmlformats.org/officeDocument/2006/relationships/hyperlink" Target="https://jacksonelectric.com/" TargetMode="External"/><Relationship Id="rId18" Type="http://schemas.openxmlformats.org/officeDocument/2006/relationships/hyperlink" Target="https://www.atlastrillo.com/specials/" TargetMode="External"/><Relationship Id="rId19" Type="http://schemas.openxmlformats.org/officeDocument/2006/relationships/hyperlink" Target="https://rooterhero.com/san-jose/" TargetMode="External"/><Relationship Id="rId20" Type="http://schemas.openxmlformats.org/officeDocument/2006/relationships/hyperlink" Target="https://homeadditionssanjos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2.7109375" customWidth="1"/>
    <col min="3" max="3" width="26.7109375" customWidth="1"/>
    <col min="4" max="4" width="22.7109375" customWidth="1"/>
    <col min="5" max="5" width="8.7109375" customWidth="1"/>
    <col min="6" max="6" width="54.7109375" customWidth="1"/>
    <col min="7" max="7" width="18.7109375" customWidth="1"/>
    <col min="8" max="8" width="34.7109375" customWidth="1"/>
    <col min="9" max="9" width="30.7109375" customWidth="1"/>
    <col min="10" max="10" width="48.7109375" customWidth="1"/>
    <col min="11" max="11" width="38.7109375" customWidth="1"/>
    <col min="12" max="12" width="72.7109375" customWidth="1"/>
    <col min="13" max="13" width="50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  <c r="O2" s="2" t="s">
        <v>28</v>
      </c>
    </row>
    <row r="3" spans="1:15">
      <c r="A3" s="2">
        <v>2</v>
      </c>
      <c r="B3" s="2" t="s">
        <v>29</v>
      </c>
      <c r="C3" s="2" t="s">
        <v>30</v>
      </c>
      <c r="D3" s="2" t="s">
        <v>31</v>
      </c>
      <c r="E3" s="2" t="s">
        <v>18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" t="s">
        <v>39</v>
      </c>
      <c r="N3" s="2" t="s">
        <v>27</v>
      </c>
      <c r="O3" s="2" t="s">
        <v>28</v>
      </c>
    </row>
    <row r="4" spans="1:15">
      <c r="A4" s="2">
        <v>3</v>
      </c>
      <c r="B4" s="2" t="s">
        <v>40</v>
      </c>
      <c r="C4" s="2" t="s">
        <v>41</v>
      </c>
      <c r="D4" s="2" t="s">
        <v>17</v>
      </c>
      <c r="E4" s="2" t="s">
        <v>18</v>
      </c>
      <c r="F4" s="2" t="s">
        <v>42</v>
      </c>
      <c r="G4" s="2" t="s">
        <v>43</v>
      </c>
      <c r="H4" s="2" t="s">
        <v>44</v>
      </c>
      <c r="I4" s="2" t="s">
        <v>45</v>
      </c>
      <c r="J4" s="2" t="s">
        <v>46</v>
      </c>
      <c r="K4" s="2" t="s">
        <v>47</v>
      </c>
      <c r="L4" s="2" t="s">
        <v>48</v>
      </c>
      <c r="M4" s="2" t="s">
        <v>49</v>
      </c>
      <c r="N4" s="2" t="s">
        <v>27</v>
      </c>
      <c r="O4" s="2" t="s">
        <v>28</v>
      </c>
    </row>
    <row r="5" spans="1:15">
      <c r="A5" s="2">
        <v>4</v>
      </c>
      <c r="B5" s="2" t="s">
        <v>50</v>
      </c>
      <c r="C5" s="2" t="s">
        <v>51</v>
      </c>
      <c r="D5" s="2" t="s">
        <v>52</v>
      </c>
      <c r="E5" s="2" t="s">
        <v>18</v>
      </c>
      <c r="F5" s="2" t="s">
        <v>53</v>
      </c>
      <c r="G5" s="2" t="s">
        <v>54</v>
      </c>
      <c r="H5" s="2" t="s">
        <v>55</v>
      </c>
      <c r="I5" s="2" t="s">
        <v>56</v>
      </c>
      <c r="J5" s="2" t="s">
        <v>57</v>
      </c>
      <c r="K5" s="2" t="s">
        <v>58</v>
      </c>
      <c r="L5" s="2" t="s">
        <v>59</v>
      </c>
      <c r="M5" s="2" t="s">
        <v>60</v>
      </c>
      <c r="N5" s="2" t="s">
        <v>27</v>
      </c>
      <c r="O5" s="2" t="s">
        <v>28</v>
      </c>
    </row>
    <row r="6" spans="1:15">
      <c r="A6" s="2">
        <v>5</v>
      </c>
      <c r="B6" s="2" t="s">
        <v>61</v>
      </c>
      <c r="C6" s="2" t="s">
        <v>62</v>
      </c>
      <c r="D6" s="2" t="s">
        <v>63</v>
      </c>
      <c r="E6" s="2" t="s">
        <v>18</v>
      </c>
      <c r="F6" s="2" t="s">
        <v>64</v>
      </c>
      <c r="G6" s="2" t="s">
        <v>65</v>
      </c>
      <c r="H6" s="2" t="s">
        <v>66</v>
      </c>
      <c r="I6" s="2" t="s">
        <v>67</v>
      </c>
      <c r="J6" s="2" t="s">
        <v>68</v>
      </c>
      <c r="K6" s="2" t="s">
        <v>69</v>
      </c>
      <c r="L6" s="2" t="s">
        <v>70</v>
      </c>
      <c r="M6" s="2" t="s">
        <v>71</v>
      </c>
      <c r="N6" s="2" t="s">
        <v>27</v>
      </c>
      <c r="O6" s="2" t="s">
        <v>28</v>
      </c>
    </row>
    <row r="7" spans="1:15">
      <c r="A7" s="2">
        <v>6</v>
      </c>
      <c r="B7" s="2" t="s">
        <v>72</v>
      </c>
      <c r="C7" s="2" t="s">
        <v>73</v>
      </c>
      <c r="D7" s="2" t="s">
        <v>74</v>
      </c>
      <c r="E7" s="2" t="s">
        <v>18</v>
      </c>
      <c r="F7" s="2" t="s">
        <v>75</v>
      </c>
      <c r="G7" s="2" t="s">
        <v>76</v>
      </c>
      <c r="H7" s="2" t="s">
        <v>77</v>
      </c>
      <c r="I7" s="2" t="s">
        <v>78</v>
      </c>
      <c r="J7" s="2" t="s">
        <v>79</v>
      </c>
      <c r="K7" s="2" t="s">
        <v>80</v>
      </c>
      <c r="L7" s="2" t="s">
        <v>81</v>
      </c>
      <c r="M7" s="2" t="s">
        <v>82</v>
      </c>
      <c r="N7" s="2" t="s">
        <v>27</v>
      </c>
      <c r="O7" s="2" t="s">
        <v>28</v>
      </c>
    </row>
    <row r="8" spans="1:15">
      <c r="A8" s="2">
        <v>7</v>
      </c>
      <c r="B8" s="2" t="s">
        <v>83</v>
      </c>
      <c r="C8" s="2" t="s">
        <v>84</v>
      </c>
      <c r="D8" s="2" t="s">
        <v>85</v>
      </c>
      <c r="E8" s="2" t="s">
        <v>18</v>
      </c>
      <c r="F8" s="2" t="s">
        <v>86</v>
      </c>
      <c r="G8" s="2" t="s">
        <v>87</v>
      </c>
      <c r="H8" s="2" t="s">
        <v>88</v>
      </c>
      <c r="I8" s="2" t="s">
        <v>89</v>
      </c>
      <c r="J8" s="2" t="s">
        <v>90</v>
      </c>
      <c r="K8" s="2" t="s">
        <v>91</v>
      </c>
      <c r="L8" s="2" t="s">
        <v>92</v>
      </c>
      <c r="M8" s="2" t="s">
        <v>93</v>
      </c>
      <c r="N8" s="2" t="s">
        <v>27</v>
      </c>
      <c r="O8" s="2" t="s">
        <v>28</v>
      </c>
    </row>
    <row r="9" spans="1:15">
      <c r="A9" s="2">
        <v>8</v>
      </c>
      <c r="B9" s="2" t="s">
        <v>94</v>
      </c>
      <c r="C9" s="2" t="s">
        <v>95</v>
      </c>
      <c r="D9" s="2" t="s">
        <v>96</v>
      </c>
      <c r="E9" s="2" t="s">
        <v>18</v>
      </c>
      <c r="F9" s="2" t="s">
        <v>97</v>
      </c>
      <c r="G9" s="2" t="s">
        <v>98</v>
      </c>
      <c r="H9" s="2" t="s">
        <v>99</v>
      </c>
      <c r="I9" s="2" t="s">
        <v>100</v>
      </c>
      <c r="J9" s="2" t="s">
        <v>101</v>
      </c>
      <c r="K9" s="2" t="s">
        <v>102</v>
      </c>
      <c r="L9" s="2" t="s">
        <v>103</v>
      </c>
      <c r="M9" s="2" t="s">
        <v>104</v>
      </c>
      <c r="N9" s="2" t="s">
        <v>27</v>
      </c>
      <c r="O9" s="2" t="s">
        <v>28</v>
      </c>
    </row>
    <row r="10" spans="1:15">
      <c r="A10" s="2">
        <v>9</v>
      </c>
      <c r="B10" s="2" t="s">
        <v>105</v>
      </c>
      <c r="C10" s="2" t="s">
        <v>106</v>
      </c>
      <c r="D10" s="2" t="s">
        <v>63</v>
      </c>
      <c r="E10" s="2" t="s">
        <v>18</v>
      </c>
      <c r="F10" s="2" t="s">
        <v>107</v>
      </c>
      <c r="G10" s="2" t="s">
        <v>108</v>
      </c>
      <c r="H10" s="2" t="s">
        <v>109</v>
      </c>
      <c r="I10" s="2" t="s">
        <v>110</v>
      </c>
      <c r="J10" s="2" t="s">
        <v>111</v>
      </c>
      <c r="K10" s="2" t="s">
        <v>112</v>
      </c>
      <c r="L10" s="2" t="s">
        <v>113</v>
      </c>
      <c r="M10" s="2" t="s">
        <v>114</v>
      </c>
      <c r="N10" s="2" t="s">
        <v>27</v>
      </c>
      <c r="O10" s="2" t="s">
        <v>28</v>
      </c>
    </row>
    <row r="11" spans="1:15">
      <c r="A11" s="2">
        <v>10</v>
      </c>
      <c r="B11" s="2" t="s">
        <v>115</v>
      </c>
      <c r="C11" s="2" t="s">
        <v>51</v>
      </c>
      <c r="D11" s="2" t="s">
        <v>17</v>
      </c>
      <c r="E11" s="2" t="s">
        <v>18</v>
      </c>
      <c r="F11" s="2" t="s">
        <v>116</v>
      </c>
      <c r="G11" s="2" t="s">
        <v>117</v>
      </c>
      <c r="H11" s="2" t="s">
        <v>118</v>
      </c>
      <c r="I11" s="2" t="s">
        <v>119</v>
      </c>
      <c r="J11" s="2" t="s">
        <v>120</v>
      </c>
      <c r="K11" s="2" t="s">
        <v>121</v>
      </c>
      <c r="L11" s="2" t="s">
        <v>122</v>
      </c>
      <c r="M11" s="2" t="s">
        <v>123</v>
      </c>
      <c r="N11" s="2" t="s">
        <v>27</v>
      </c>
      <c r="O11" s="2" t="s">
        <v>28</v>
      </c>
    </row>
    <row r="12" spans="1:15">
      <c r="A12" s="2">
        <v>11</v>
      </c>
      <c r="B12" s="2" t="s">
        <v>124</v>
      </c>
      <c r="C12" s="2" t="s">
        <v>125</v>
      </c>
      <c r="D12" s="2" t="s">
        <v>74</v>
      </c>
      <c r="E12" s="2" t="s">
        <v>18</v>
      </c>
      <c r="F12" s="2" t="s">
        <v>126</v>
      </c>
      <c r="G12" s="2" t="s">
        <v>127</v>
      </c>
      <c r="H12" s="2" t="s">
        <v>128</v>
      </c>
      <c r="I12" s="2" t="s">
        <v>129</v>
      </c>
      <c r="J12" s="2" t="s">
        <v>130</v>
      </c>
      <c r="K12" s="2" t="s">
        <v>131</v>
      </c>
      <c r="L12" s="2" t="s">
        <v>132</v>
      </c>
      <c r="M12" s="2" t="s">
        <v>133</v>
      </c>
      <c r="N12" s="2" t="s">
        <v>27</v>
      </c>
      <c r="O12" s="2" t="s">
        <v>28</v>
      </c>
    </row>
    <row r="13" spans="1:15">
      <c r="A13" s="2">
        <v>12</v>
      </c>
      <c r="B13" s="2" t="s">
        <v>134</v>
      </c>
      <c r="C13" s="2" t="s">
        <v>135</v>
      </c>
      <c r="D13" s="2" t="s">
        <v>74</v>
      </c>
      <c r="E13" s="2" t="s">
        <v>18</v>
      </c>
      <c r="F13" s="2" t="s">
        <v>136</v>
      </c>
      <c r="G13" s="2" t="s">
        <v>137</v>
      </c>
      <c r="H13" s="2"/>
      <c r="I13" s="2" t="s">
        <v>138</v>
      </c>
      <c r="J13" s="2" t="s">
        <v>139</v>
      </c>
      <c r="K13" s="2" t="s">
        <v>140</v>
      </c>
      <c r="L13" s="2" t="s">
        <v>141</v>
      </c>
      <c r="M13" s="2" t="s">
        <v>142</v>
      </c>
      <c r="N13" s="2" t="s">
        <v>27</v>
      </c>
      <c r="O13" s="2" t="s">
        <v>28</v>
      </c>
    </row>
    <row r="14" spans="1:15">
      <c r="A14" s="2">
        <v>13</v>
      </c>
      <c r="B14" s="2" t="s">
        <v>143</v>
      </c>
      <c r="C14" s="2" t="s">
        <v>144</v>
      </c>
      <c r="D14" s="2" t="s">
        <v>17</v>
      </c>
      <c r="E14" s="2" t="s">
        <v>18</v>
      </c>
      <c r="F14" s="2" t="s">
        <v>145</v>
      </c>
      <c r="G14" s="2" t="s">
        <v>146</v>
      </c>
      <c r="H14" s="2"/>
      <c r="I14" s="2" t="s">
        <v>147</v>
      </c>
      <c r="J14" s="2" t="s">
        <v>148</v>
      </c>
      <c r="K14" s="2" t="s">
        <v>149</v>
      </c>
      <c r="L14" s="2" t="s">
        <v>150</v>
      </c>
      <c r="M14" s="2" t="s">
        <v>151</v>
      </c>
      <c r="N14" s="2" t="s">
        <v>27</v>
      </c>
      <c r="O14" s="2" t="s">
        <v>28</v>
      </c>
    </row>
    <row r="15" spans="1:15">
      <c r="A15" s="2">
        <v>14</v>
      </c>
      <c r="B15" s="2" t="s">
        <v>152</v>
      </c>
      <c r="C15" s="2" t="s">
        <v>153</v>
      </c>
      <c r="D15" s="2" t="s">
        <v>154</v>
      </c>
      <c r="E15" s="2" t="s">
        <v>18</v>
      </c>
      <c r="F15" s="2" t="s">
        <v>155</v>
      </c>
      <c r="G15" s="2" t="s">
        <v>156</v>
      </c>
      <c r="H15" s="2"/>
      <c r="I15" s="2" t="s">
        <v>157</v>
      </c>
      <c r="J15" s="2" t="s">
        <v>158</v>
      </c>
      <c r="K15" s="2" t="s">
        <v>159</v>
      </c>
      <c r="L15" s="2" t="s">
        <v>160</v>
      </c>
      <c r="M15" s="2" t="s">
        <v>161</v>
      </c>
      <c r="N15" s="2" t="s">
        <v>27</v>
      </c>
      <c r="O15" s="2" t="s">
        <v>28</v>
      </c>
    </row>
    <row r="16" spans="1:15">
      <c r="A16" s="2">
        <v>15</v>
      </c>
      <c r="B16" s="2" t="s">
        <v>162</v>
      </c>
      <c r="C16" s="2" t="s">
        <v>163</v>
      </c>
      <c r="D16" s="2" t="s">
        <v>63</v>
      </c>
      <c r="E16" s="2" t="s">
        <v>18</v>
      </c>
      <c r="F16" s="2" t="s">
        <v>164</v>
      </c>
      <c r="G16" s="2" t="s">
        <v>165</v>
      </c>
      <c r="H16" s="2"/>
      <c r="I16" s="2" t="s">
        <v>166</v>
      </c>
      <c r="J16" s="2" t="s">
        <v>167</v>
      </c>
      <c r="K16" s="2" t="s">
        <v>168</v>
      </c>
      <c r="L16" s="2" t="s">
        <v>169</v>
      </c>
      <c r="M16" s="2" t="s">
        <v>170</v>
      </c>
      <c r="N16" s="2" t="s">
        <v>27</v>
      </c>
      <c r="O16" s="2" t="s">
        <v>28</v>
      </c>
    </row>
    <row r="17" spans="1:15">
      <c r="A17" s="2">
        <v>16</v>
      </c>
      <c r="B17" s="2" t="s">
        <v>171</v>
      </c>
      <c r="C17" s="2" t="s">
        <v>172</v>
      </c>
      <c r="D17" s="2" t="s">
        <v>173</v>
      </c>
      <c r="E17" s="2" t="s">
        <v>18</v>
      </c>
      <c r="F17" s="2" t="s">
        <v>174</v>
      </c>
      <c r="G17" s="2" t="s">
        <v>175</v>
      </c>
      <c r="H17" s="2"/>
      <c r="I17" s="2" t="s">
        <v>147</v>
      </c>
      <c r="J17" s="2" t="s">
        <v>176</v>
      </c>
      <c r="K17" s="2" t="s">
        <v>177</v>
      </c>
      <c r="L17" s="2" t="s">
        <v>178</v>
      </c>
      <c r="M17" s="2" t="s">
        <v>179</v>
      </c>
      <c r="N17" s="2" t="s">
        <v>27</v>
      </c>
      <c r="O17" s="2" t="s">
        <v>28</v>
      </c>
    </row>
    <row r="18" spans="1:15">
      <c r="A18" s="2">
        <v>17</v>
      </c>
      <c r="B18" s="2" t="s">
        <v>180</v>
      </c>
      <c r="C18" s="2" t="s">
        <v>181</v>
      </c>
      <c r="D18" s="2" t="s">
        <v>63</v>
      </c>
      <c r="E18" s="2" t="s">
        <v>18</v>
      </c>
      <c r="F18" s="2" t="s">
        <v>182</v>
      </c>
      <c r="G18" s="2" t="s">
        <v>183</v>
      </c>
      <c r="H18" s="2"/>
      <c r="I18" s="2" t="s">
        <v>184</v>
      </c>
      <c r="J18" s="2" t="s">
        <v>185</v>
      </c>
      <c r="K18" s="2" t="s">
        <v>186</v>
      </c>
      <c r="L18" s="2" t="s">
        <v>187</v>
      </c>
      <c r="M18" s="2" t="s">
        <v>188</v>
      </c>
      <c r="N18" s="2" t="s">
        <v>27</v>
      </c>
      <c r="O18" s="2" t="s">
        <v>28</v>
      </c>
    </row>
    <row r="19" spans="1:15">
      <c r="A19" s="2">
        <v>18</v>
      </c>
      <c r="B19" s="2" t="s">
        <v>189</v>
      </c>
      <c r="C19" s="2" t="s">
        <v>190</v>
      </c>
      <c r="D19" s="2" t="s">
        <v>63</v>
      </c>
      <c r="E19" s="2" t="s">
        <v>18</v>
      </c>
      <c r="F19" s="2" t="s">
        <v>191</v>
      </c>
      <c r="G19" s="2" t="s">
        <v>192</v>
      </c>
      <c r="H19" s="2"/>
      <c r="I19" s="2" t="s">
        <v>193</v>
      </c>
      <c r="J19" s="2" t="s">
        <v>194</v>
      </c>
      <c r="K19" s="2" t="s">
        <v>195</v>
      </c>
      <c r="L19" s="2" t="s">
        <v>196</v>
      </c>
      <c r="M19" s="2" t="s">
        <v>197</v>
      </c>
      <c r="N19" s="2" t="s">
        <v>27</v>
      </c>
      <c r="O19" s="2" t="s">
        <v>28</v>
      </c>
    </row>
    <row r="20" spans="1:15">
      <c r="A20" s="2">
        <v>19</v>
      </c>
      <c r="B20" s="2" t="s">
        <v>198</v>
      </c>
      <c r="C20" s="2" t="s">
        <v>199</v>
      </c>
      <c r="D20" s="2" t="s">
        <v>63</v>
      </c>
      <c r="E20" s="2" t="s">
        <v>18</v>
      </c>
      <c r="F20" s="2" t="s">
        <v>200</v>
      </c>
      <c r="G20" s="2" t="s">
        <v>201</v>
      </c>
      <c r="H20" s="2"/>
      <c r="I20" s="2" t="s">
        <v>202</v>
      </c>
      <c r="J20" s="2" t="s">
        <v>203</v>
      </c>
      <c r="K20" s="2" t="s">
        <v>204</v>
      </c>
      <c r="L20" s="2" t="s">
        <v>205</v>
      </c>
      <c r="M20" s="2" t="s">
        <v>206</v>
      </c>
      <c r="N20" s="2" t="s">
        <v>27</v>
      </c>
      <c r="O20" s="2" t="s">
        <v>28</v>
      </c>
    </row>
    <row r="21" spans="1:15">
      <c r="A21" s="2">
        <v>20</v>
      </c>
      <c r="B21" s="2" t="s">
        <v>207</v>
      </c>
      <c r="C21" s="2" t="s">
        <v>208</v>
      </c>
      <c r="D21" s="2" t="s">
        <v>63</v>
      </c>
      <c r="E21" s="2" t="s">
        <v>18</v>
      </c>
      <c r="F21" s="2" t="s">
        <v>209</v>
      </c>
      <c r="G21" s="2"/>
      <c r="H21" s="2" t="s">
        <v>210</v>
      </c>
      <c r="I21" s="2" t="s">
        <v>211</v>
      </c>
      <c r="J21" s="2" t="s">
        <v>212</v>
      </c>
      <c r="K21" s="2" t="s">
        <v>213</v>
      </c>
      <c r="L21" s="2" t="s">
        <v>214</v>
      </c>
      <c r="M21" s="2" t="s">
        <v>215</v>
      </c>
      <c r="N21" s="2" t="s">
        <v>27</v>
      </c>
      <c r="O21" s="2" t="s">
        <v>28</v>
      </c>
    </row>
  </sheetData>
  <autoFilter ref="A1:O21"/>
  <conditionalFormatting sqref="E2:E2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  <hyperlink ref="M12" r:id="rId11"/>
    <hyperlink ref="M13" r:id="rId12"/>
    <hyperlink ref="M14" r:id="rId13"/>
    <hyperlink ref="M15" r:id="rId14"/>
    <hyperlink ref="M16" r:id="rId15"/>
    <hyperlink ref="M17" r:id="rId16"/>
    <hyperlink ref="M18" r:id="rId17"/>
    <hyperlink ref="M19" r:id="rId18"/>
    <hyperlink ref="M20" r:id="rId19"/>
    <hyperlink ref="M21" r:id="rId2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4.7109375" customWidth="1"/>
    <col min="4" max="4" width="92.7109375" customWidth="1"/>
  </cols>
  <sheetData>
    <row r="1" spans="1:4">
      <c r="A1" s="1" t="s">
        <v>216</v>
      </c>
      <c r="B1" s="1" t="s">
        <v>217</v>
      </c>
      <c r="C1" s="1" t="s">
        <v>218</v>
      </c>
      <c r="D1" s="1" t="s">
        <v>219</v>
      </c>
    </row>
    <row r="2" spans="1:4">
      <c r="A2" s="2" t="s">
        <v>220</v>
      </c>
      <c r="B2" s="2" t="s">
        <v>221</v>
      </c>
      <c r="C2" s="2" t="s">
        <v>222</v>
      </c>
      <c r="D2" s="2" t="s">
        <v>223</v>
      </c>
    </row>
    <row r="3" spans="1:4">
      <c r="A3" s="2" t="s">
        <v>224</v>
      </c>
      <c r="B3" s="2" t="s">
        <v>225</v>
      </c>
      <c r="C3" s="2" t="s">
        <v>226</v>
      </c>
      <c r="D3" s="2" t="s">
        <v>227</v>
      </c>
    </row>
    <row r="4" spans="1:4">
      <c r="A4" s="2" t="s">
        <v>228</v>
      </c>
      <c r="B4" s="2" t="s">
        <v>229</v>
      </c>
      <c r="C4" s="2" t="s">
        <v>230</v>
      </c>
      <c r="D4" s="2" t="s">
        <v>231</v>
      </c>
    </row>
    <row r="5" spans="1:4">
      <c r="A5" s="2" t="s">
        <v>232</v>
      </c>
      <c r="B5" s="2" t="s">
        <v>233</v>
      </c>
      <c r="C5" s="2" t="s">
        <v>234</v>
      </c>
      <c r="D5" s="2" t="s">
        <v>235</v>
      </c>
    </row>
    <row r="6" spans="1:4">
      <c r="A6" s="2" t="s">
        <v>236</v>
      </c>
      <c r="B6" s="2" t="s">
        <v>237</v>
      </c>
      <c r="C6" s="2" t="s">
        <v>238</v>
      </c>
      <c r="D6" s="2" t="s">
        <v>239</v>
      </c>
    </row>
    <row r="7" spans="1:4">
      <c r="A7" s="2" t="s">
        <v>240</v>
      </c>
      <c r="B7" s="2" t="s">
        <v>241</v>
      </c>
      <c r="C7" s="2" t="s">
        <v>242</v>
      </c>
      <c r="D7" s="2" t="s">
        <v>243</v>
      </c>
    </row>
    <row r="8" spans="1:4">
      <c r="A8" s="2" t="s">
        <v>244</v>
      </c>
      <c r="B8" s="2" t="s">
        <v>245</v>
      </c>
      <c r="C8" s="2" t="s">
        <v>246</v>
      </c>
      <c r="D8" s="2" t="s">
        <v>247</v>
      </c>
    </row>
    <row r="9" spans="1:4">
      <c r="A9" s="2" t="s">
        <v>248</v>
      </c>
      <c r="B9" s="2" t="s">
        <v>249</v>
      </c>
      <c r="C9" s="2" t="s">
        <v>250</v>
      </c>
      <c r="D9" s="2" t="s">
        <v>251</v>
      </c>
    </row>
    <row r="10" spans="1:4">
      <c r="A10" s="2" t="s">
        <v>252</v>
      </c>
      <c r="B10" s="2" t="s">
        <v>253</v>
      </c>
      <c r="C10" s="2" t="s">
        <v>254</v>
      </c>
      <c r="D10" s="2" t="s">
        <v>255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0.7109375" customWidth="1"/>
    <col min="3" max="3" width="34.7109375" customWidth="1"/>
    <col min="4" max="4" width="24.7109375" customWidth="1"/>
    <col min="5" max="5" width="14.7109375" customWidth="1"/>
    <col min="6" max="6" width="24.7109375" customWidth="1"/>
    <col min="7" max="7" width="14.7109375" customWidth="1"/>
    <col min="8" max="8" width="24.7109375" customWidth="1"/>
    <col min="9" max="9" width="38.7109375" customWidth="1"/>
    <col min="10" max="10" width="18.7109375" customWidth="1"/>
    <col min="11" max="12" width="12.7109375" customWidth="1"/>
    <col min="13" max="13" width="14.7109375" customWidth="1"/>
    <col min="14" max="14" width="58.7109375" customWidth="1"/>
    <col min="15" max="15" width="12.7109375" customWidth="1"/>
    <col min="16" max="16" width="14.7109375" customWidth="1"/>
    <col min="17" max="17" width="50.7109375" customWidth="1"/>
    <col min="18" max="18" width="14.7109375" customWidth="1"/>
  </cols>
  <sheetData>
    <row r="1" spans="1:18">
      <c r="A1" s="1" t="s">
        <v>256</v>
      </c>
      <c r="B1" s="1" t="s">
        <v>257</v>
      </c>
      <c r="C1" s="1" t="s">
        <v>258</v>
      </c>
      <c r="D1" s="1" t="s">
        <v>259</v>
      </c>
      <c r="E1" s="1" t="s">
        <v>260</v>
      </c>
      <c r="F1" s="1" t="s">
        <v>261</v>
      </c>
      <c r="G1" s="1" t="s">
        <v>262</v>
      </c>
      <c r="H1" s="1" t="s">
        <v>263</v>
      </c>
      <c r="I1" s="1" t="s">
        <v>264</v>
      </c>
      <c r="J1" s="1" t="s">
        <v>217</v>
      </c>
      <c r="K1" s="1" t="s">
        <v>265</v>
      </c>
      <c r="L1" s="1" t="s">
        <v>266</v>
      </c>
      <c r="M1" s="1" t="s">
        <v>267</v>
      </c>
      <c r="N1" s="1" t="s">
        <v>268</v>
      </c>
      <c r="O1" s="1" t="s">
        <v>269</v>
      </c>
      <c r="P1" s="1" t="s">
        <v>270</v>
      </c>
      <c r="Q1" s="1" t="s">
        <v>271</v>
      </c>
      <c r="R1" s="1" t="s">
        <v>272</v>
      </c>
    </row>
    <row r="2" spans="1:18">
      <c r="A2" s="2" t="s">
        <v>15</v>
      </c>
      <c r="B2" s="2">
        <v>1</v>
      </c>
      <c r="C2" s="2" t="s">
        <v>21</v>
      </c>
      <c r="D2" s="2"/>
      <c r="E2" s="2"/>
      <c r="F2" s="2"/>
      <c r="G2" s="2"/>
      <c r="H2" s="2"/>
      <c r="I2" s="2"/>
      <c r="J2" s="2" t="s">
        <v>28</v>
      </c>
      <c r="K2" s="3">
        <v>0</v>
      </c>
      <c r="L2" s="3">
        <v>0</v>
      </c>
      <c r="M2" s="2"/>
      <c r="N2" s="2" t="s">
        <v>273</v>
      </c>
      <c r="O2" s="2"/>
      <c r="P2" s="2" t="s">
        <v>27</v>
      </c>
      <c r="Q2" s="2" t="s">
        <v>26</v>
      </c>
      <c r="R2" s="3">
        <v>150</v>
      </c>
    </row>
    <row r="3" spans="1:18">
      <c r="A3" s="2" t="s">
        <v>29</v>
      </c>
      <c r="B3" s="2">
        <v>2</v>
      </c>
      <c r="C3" s="2" t="s">
        <v>34</v>
      </c>
      <c r="D3" s="2"/>
      <c r="E3" s="2"/>
      <c r="F3" s="2"/>
      <c r="G3" s="2"/>
      <c r="H3" s="2"/>
      <c r="I3" s="2"/>
      <c r="J3" s="2" t="s">
        <v>28</v>
      </c>
      <c r="K3" s="3">
        <v>0</v>
      </c>
      <c r="L3" s="3">
        <v>0</v>
      </c>
      <c r="M3" s="2"/>
      <c r="N3" s="2" t="s">
        <v>273</v>
      </c>
      <c r="O3" s="2"/>
      <c r="P3" s="2" t="s">
        <v>27</v>
      </c>
      <c r="Q3" s="2" t="s">
        <v>39</v>
      </c>
      <c r="R3" s="3">
        <v>150</v>
      </c>
    </row>
    <row r="4" spans="1:18">
      <c r="A4" s="2" t="s">
        <v>40</v>
      </c>
      <c r="B4" s="2">
        <v>3</v>
      </c>
      <c r="C4" s="2" t="s">
        <v>44</v>
      </c>
      <c r="D4" s="2"/>
      <c r="E4" s="2"/>
      <c r="F4" s="2"/>
      <c r="G4" s="2"/>
      <c r="H4" s="2"/>
      <c r="I4" s="2"/>
      <c r="J4" s="2" t="s">
        <v>28</v>
      </c>
      <c r="K4" s="3">
        <v>0</v>
      </c>
      <c r="L4" s="3">
        <v>0</v>
      </c>
      <c r="M4" s="2"/>
      <c r="N4" s="2" t="s">
        <v>273</v>
      </c>
      <c r="O4" s="2"/>
      <c r="P4" s="2" t="s">
        <v>27</v>
      </c>
      <c r="Q4" s="2" t="s">
        <v>49</v>
      </c>
      <c r="R4" s="3">
        <v>150</v>
      </c>
    </row>
    <row r="5" spans="1:18">
      <c r="A5" s="2" t="s">
        <v>50</v>
      </c>
      <c r="B5" s="2">
        <v>4</v>
      </c>
      <c r="C5" s="2" t="s">
        <v>55</v>
      </c>
      <c r="D5" s="2"/>
      <c r="E5" s="2"/>
      <c r="F5" s="2"/>
      <c r="G5" s="2"/>
      <c r="H5" s="2"/>
      <c r="I5" s="2"/>
      <c r="J5" s="2" t="s">
        <v>28</v>
      </c>
      <c r="K5" s="3">
        <v>0</v>
      </c>
      <c r="L5" s="3">
        <v>0</v>
      </c>
      <c r="M5" s="2"/>
      <c r="N5" s="2" t="s">
        <v>273</v>
      </c>
      <c r="O5" s="2"/>
      <c r="P5" s="2" t="s">
        <v>27</v>
      </c>
      <c r="Q5" s="2" t="s">
        <v>60</v>
      </c>
      <c r="R5" s="3">
        <v>150</v>
      </c>
    </row>
    <row r="6" spans="1:18">
      <c r="A6" s="2" t="s">
        <v>61</v>
      </c>
      <c r="B6" s="2">
        <v>5</v>
      </c>
      <c r="C6" s="2" t="s">
        <v>66</v>
      </c>
      <c r="D6" s="2"/>
      <c r="E6" s="2"/>
      <c r="F6" s="2"/>
      <c r="G6" s="2"/>
      <c r="H6" s="2"/>
      <c r="I6" s="2"/>
      <c r="J6" s="2" t="s">
        <v>28</v>
      </c>
      <c r="K6" s="3">
        <v>0</v>
      </c>
      <c r="L6" s="3">
        <v>0</v>
      </c>
      <c r="M6" s="2"/>
      <c r="N6" s="2" t="s">
        <v>273</v>
      </c>
      <c r="O6" s="2"/>
      <c r="P6" s="2" t="s">
        <v>27</v>
      </c>
      <c r="Q6" s="2" t="s">
        <v>71</v>
      </c>
      <c r="R6" s="3">
        <v>150</v>
      </c>
    </row>
    <row r="7" spans="1:18">
      <c r="A7" s="2" t="s">
        <v>72</v>
      </c>
      <c r="B7" s="2">
        <v>6</v>
      </c>
      <c r="C7" s="2" t="s">
        <v>77</v>
      </c>
      <c r="D7" s="2"/>
      <c r="E7" s="2"/>
      <c r="F7" s="2"/>
      <c r="G7" s="2"/>
      <c r="H7" s="2"/>
      <c r="I7" s="2"/>
      <c r="J7" s="2" t="s">
        <v>28</v>
      </c>
      <c r="K7" s="3">
        <v>0</v>
      </c>
      <c r="L7" s="3">
        <v>0</v>
      </c>
      <c r="M7" s="2"/>
      <c r="N7" s="2" t="s">
        <v>273</v>
      </c>
      <c r="O7" s="2"/>
      <c r="P7" s="2" t="s">
        <v>27</v>
      </c>
      <c r="Q7" s="2" t="s">
        <v>82</v>
      </c>
      <c r="R7" s="3">
        <v>150</v>
      </c>
    </row>
    <row r="8" spans="1:18">
      <c r="A8" s="2" t="s">
        <v>83</v>
      </c>
      <c r="B8" s="2">
        <v>7</v>
      </c>
      <c r="C8" s="2" t="s">
        <v>88</v>
      </c>
      <c r="D8" s="2"/>
      <c r="E8" s="2"/>
      <c r="F8" s="2"/>
      <c r="G8" s="2"/>
      <c r="H8" s="2"/>
      <c r="I8" s="2"/>
      <c r="J8" s="2" t="s">
        <v>28</v>
      </c>
      <c r="K8" s="3">
        <v>0</v>
      </c>
      <c r="L8" s="3">
        <v>0</v>
      </c>
      <c r="M8" s="2"/>
      <c r="N8" s="2" t="s">
        <v>273</v>
      </c>
      <c r="O8" s="2"/>
      <c r="P8" s="2" t="s">
        <v>27</v>
      </c>
      <c r="Q8" s="2" t="s">
        <v>93</v>
      </c>
      <c r="R8" s="3">
        <v>150</v>
      </c>
    </row>
    <row r="9" spans="1:18">
      <c r="A9" s="2" t="s">
        <v>94</v>
      </c>
      <c r="B9" s="2">
        <v>8</v>
      </c>
      <c r="C9" s="2" t="s">
        <v>99</v>
      </c>
      <c r="D9" s="2"/>
      <c r="E9" s="2"/>
      <c r="F9" s="2"/>
      <c r="G9" s="2"/>
      <c r="H9" s="2"/>
      <c r="I9" s="2"/>
      <c r="J9" s="2" t="s">
        <v>28</v>
      </c>
      <c r="K9" s="3">
        <v>0</v>
      </c>
      <c r="L9" s="3">
        <v>0</v>
      </c>
      <c r="M9" s="2"/>
      <c r="N9" s="2" t="s">
        <v>273</v>
      </c>
      <c r="O9" s="2"/>
      <c r="P9" s="2" t="s">
        <v>27</v>
      </c>
      <c r="Q9" s="2" t="s">
        <v>104</v>
      </c>
      <c r="R9" s="3">
        <v>150</v>
      </c>
    </row>
    <row r="10" spans="1:18">
      <c r="A10" s="2" t="s">
        <v>105</v>
      </c>
      <c r="B10" s="2">
        <v>9</v>
      </c>
      <c r="C10" s="2" t="s">
        <v>109</v>
      </c>
      <c r="D10" s="2"/>
      <c r="E10" s="2"/>
      <c r="F10" s="2"/>
      <c r="G10" s="2"/>
      <c r="H10" s="2"/>
      <c r="I10" s="2"/>
      <c r="J10" s="2" t="s">
        <v>28</v>
      </c>
      <c r="K10" s="3">
        <v>0</v>
      </c>
      <c r="L10" s="3">
        <v>0</v>
      </c>
      <c r="M10" s="2"/>
      <c r="N10" s="2" t="s">
        <v>273</v>
      </c>
      <c r="O10" s="2"/>
      <c r="P10" s="2" t="s">
        <v>27</v>
      </c>
      <c r="Q10" s="2" t="s">
        <v>114</v>
      </c>
      <c r="R10" s="3">
        <v>150</v>
      </c>
    </row>
    <row r="11" spans="1:18">
      <c r="A11" s="2" t="s">
        <v>115</v>
      </c>
      <c r="B11" s="2">
        <v>10</v>
      </c>
      <c r="C11" s="2" t="s">
        <v>118</v>
      </c>
      <c r="D11" s="2"/>
      <c r="E11" s="2"/>
      <c r="F11" s="2"/>
      <c r="G11" s="2"/>
      <c r="H11" s="2"/>
      <c r="I11" s="2"/>
      <c r="J11" s="2" t="s">
        <v>28</v>
      </c>
      <c r="K11" s="3">
        <v>0</v>
      </c>
      <c r="L11" s="3">
        <v>0</v>
      </c>
      <c r="M11" s="2"/>
      <c r="N11" s="2" t="s">
        <v>273</v>
      </c>
      <c r="O11" s="2"/>
      <c r="P11" s="2" t="s">
        <v>27</v>
      </c>
      <c r="Q11" s="2" t="s">
        <v>123</v>
      </c>
      <c r="R11" s="3">
        <v>150</v>
      </c>
    </row>
    <row r="12" spans="1:18">
      <c r="A12" s="2" t="s">
        <v>124</v>
      </c>
      <c r="B12" s="2">
        <v>11</v>
      </c>
      <c r="C12" s="2" t="s">
        <v>128</v>
      </c>
      <c r="D12" s="2"/>
      <c r="E12" s="2"/>
      <c r="F12" s="2"/>
      <c r="G12" s="2"/>
      <c r="H12" s="2"/>
      <c r="I12" s="2"/>
      <c r="J12" s="2" t="s">
        <v>28</v>
      </c>
      <c r="K12" s="3">
        <v>0</v>
      </c>
      <c r="L12" s="3">
        <v>0</v>
      </c>
      <c r="M12" s="2"/>
      <c r="N12" s="2" t="s">
        <v>273</v>
      </c>
      <c r="O12" s="2"/>
      <c r="P12" s="2" t="s">
        <v>27</v>
      </c>
      <c r="Q12" s="2" t="s">
        <v>133</v>
      </c>
      <c r="R12" s="3">
        <v>150</v>
      </c>
    </row>
    <row r="13" spans="1:18">
      <c r="A13" s="2" t="s">
        <v>134</v>
      </c>
      <c r="B13" s="2">
        <v>12</v>
      </c>
      <c r="C13" s="2" t="s">
        <v>137</v>
      </c>
      <c r="D13" s="2"/>
      <c r="E13" s="2"/>
      <c r="F13" s="2"/>
      <c r="G13" s="2"/>
      <c r="H13" s="2"/>
      <c r="I13" s="2"/>
      <c r="J13" s="2" t="s">
        <v>28</v>
      </c>
      <c r="K13" s="3">
        <v>0</v>
      </c>
      <c r="L13" s="3">
        <v>0</v>
      </c>
      <c r="M13" s="2"/>
      <c r="N13" s="2" t="s">
        <v>273</v>
      </c>
      <c r="O13" s="2"/>
      <c r="P13" s="2" t="s">
        <v>27</v>
      </c>
      <c r="Q13" s="2" t="s">
        <v>142</v>
      </c>
      <c r="R13" s="3">
        <v>150</v>
      </c>
    </row>
    <row r="14" spans="1:18">
      <c r="A14" s="2" t="s">
        <v>143</v>
      </c>
      <c r="B14" s="2">
        <v>13</v>
      </c>
      <c r="C14" s="2" t="s">
        <v>146</v>
      </c>
      <c r="D14" s="2"/>
      <c r="E14" s="2"/>
      <c r="F14" s="2"/>
      <c r="G14" s="2"/>
      <c r="H14" s="2"/>
      <c r="I14" s="2"/>
      <c r="J14" s="2" t="s">
        <v>28</v>
      </c>
      <c r="K14" s="3">
        <v>0</v>
      </c>
      <c r="L14" s="3">
        <v>0</v>
      </c>
      <c r="M14" s="2"/>
      <c r="N14" s="2" t="s">
        <v>273</v>
      </c>
      <c r="O14" s="2"/>
      <c r="P14" s="2" t="s">
        <v>27</v>
      </c>
      <c r="Q14" s="2" t="s">
        <v>151</v>
      </c>
      <c r="R14" s="3">
        <v>150</v>
      </c>
    </row>
    <row r="15" spans="1:18">
      <c r="A15" s="2" t="s">
        <v>152</v>
      </c>
      <c r="B15" s="2">
        <v>14</v>
      </c>
      <c r="C15" s="2" t="s">
        <v>156</v>
      </c>
      <c r="D15" s="2"/>
      <c r="E15" s="2"/>
      <c r="F15" s="2"/>
      <c r="G15" s="2"/>
      <c r="H15" s="2"/>
      <c r="I15" s="2"/>
      <c r="J15" s="2" t="s">
        <v>28</v>
      </c>
      <c r="K15" s="3">
        <v>0</v>
      </c>
      <c r="L15" s="3">
        <v>0</v>
      </c>
      <c r="M15" s="2"/>
      <c r="N15" s="2" t="s">
        <v>273</v>
      </c>
      <c r="O15" s="2"/>
      <c r="P15" s="2" t="s">
        <v>27</v>
      </c>
      <c r="Q15" s="2" t="s">
        <v>161</v>
      </c>
      <c r="R15" s="3">
        <v>150</v>
      </c>
    </row>
    <row r="16" spans="1:18">
      <c r="A16" s="2" t="s">
        <v>162</v>
      </c>
      <c r="B16" s="2">
        <v>15</v>
      </c>
      <c r="C16" s="2" t="s">
        <v>165</v>
      </c>
      <c r="D16" s="2"/>
      <c r="E16" s="2"/>
      <c r="F16" s="2"/>
      <c r="G16" s="2"/>
      <c r="H16" s="2"/>
      <c r="I16" s="2"/>
      <c r="J16" s="2" t="s">
        <v>28</v>
      </c>
      <c r="K16" s="3">
        <v>0</v>
      </c>
      <c r="L16" s="3">
        <v>0</v>
      </c>
      <c r="M16" s="2"/>
      <c r="N16" s="2" t="s">
        <v>273</v>
      </c>
      <c r="O16" s="2"/>
      <c r="P16" s="2" t="s">
        <v>27</v>
      </c>
      <c r="Q16" s="2" t="s">
        <v>170</v>
      </c>
      <c r="R16" s="3">
        <v>150</v>
      </c>
    </row>
    <row r="17" spans="1:18">
      <c r="A17" s="2" t="s">
        <v>171</v>
      </c>
      <c r="B17" s="2">
        <v>16</v>
      </c>
      <c r="C17" s="2" t="s">
        <v>175</v>
      </c>
      <c r="D17" s="2"/>
      <c r="E17" s="2"/>
      <c r="F17" s="2"/>
      <c r="G17" s="2"/>
      <c r="H17" s="2"/>
      <c r="I17" s="2"/>
      <c r="J17" s="2" t="s">
        <v>28</v>
      </c>
      <c r="K17" s="3">
        <v>0</v>
      </c>
      <c r="L17" s="3">
        <v>0</v>
      </c>
      <c r="M17" s="2"/>
      <c r="N17" s="2" t="s">
        <v>273</v>
      </c>
      <c r="O17" s="2"/>
      <c r="P17" s="2" t="s">
        <v>27</v>
      </c>
      <c r="Q17" s="2" t="s">
        <v>179</v>
      </c>
      <c r="R17" s="3">
        <v>150</v>
      </c>
    </row>
    <row r="18" spans="1:18">
      <c r="A18" s="2" t="s">
        <v>180</v>
      </c>
      <c r="B18" s="2">
        <v>17</v>
      </c>
      <c r="C18" s="2" t="s">
        <v>183</v>
      </c>
      <c r="D18" s="2"/>
      <c r="E18" s="2"/>
      <c r="F18" s="2"/>
      <c r="G18" s="2"/>
      <c r="H18" s="2"/>
      <c r="I18" s="2"/>
      <c r="J18" s="2" t="s">
        <v>28</v>
      </c>
      <c r="K18" s="3">
        <v>0</v>
      </c>
      <c r="L18" s="3">
        <v>0</v>
      </c>
      <c r="M18" s="2"/>
      <c r="N18" s="2" t="s">
        <v>273</v>
      </c>
      <c r="O18" s="2"/>
      <c r="P18" s="2" t="s">
        <v>27</v>
      </c>
      <c r="Q18" s="2" t="s">
        <v>188</v>
      </c>
      <c r="R18" s="3">
        <v>150</v>
      </c>
    </row>
    <row r="19" spans="1:18">
      <c r="A19" s="2" t="s">
        <v>189</v>
      </c>
      <c r="B19" s="2">
        <v>18</v>
      </c>
      <c r="C19" s="2" t="s">
        <v>192</v>
      </c>
      <c r="D19" s="2"/>
      <c r="E19" s="2"/>
      <c r="F19" s="2"/>
      <c r="G19" s="2"/>
      <c r="H19" s="2"/>
      <c r="I19" s="2"/>
      <c r="J19" s="2" t="s">
        <v>28</v>
      </c>
      <c r="K19" s="3">
        <v>0</v>
      </c>
      <c r="L19" s="3">
        <v>0</v>
      </c>
      <c r="M19" s="2"/>
      <c r="N19" s="2" t="s">
        <v>273</v>
      </c>
      <c r="O19" s="2"/>
      <c r="P19" s="2" t="s">
        <v>27</v>
      </c>
      <c r="Q19" s="2" t="s">
        <v>197</v>
      </c>
      <c r="R19" s="3">
        <v>150</v>
      </c>
    </row>
    <row r="20" spans="1:18">
      <c r="A20" s="2" t="s">
        <v>198</v>
      </c>
      <c r="B20" s="2">
        <v>19</v>
      </c>
      <c r="C20" s="2" t="s">
        <v>201</v>
      </c>
      <c r="D20" s="2"/>
      <c r="E20" s="2"/>
      <c r="F20" s="2"/>
      <c r="G20" s="2"/>
      <c r="H20" s="2"/>
      <c r="I20" s="2"/>
      <c r="J20" s="2" t="s">
        <v>28</v>
      </c>
      <c r="K20" s="3">
        <v>0</v>
      </c>
      <c r="L20" s="3">
        <v>0</v>
      </c>
      <c r="M20" s="2"/>
      <c r="N20" s="2" t="s">
        <v>273</v>
      </c>
      <c r="O20" s="2"/>
      <c r="P20" s="2" t="s">
        <v>27</v>
      </c>
      <c r="Q20" s="2" t="s">
        <v>206</v>
      </c>
      <c r="R20" s="3">
        <v>150</v>
      </c>
    </row>
    <row r="21" spans="1:18">
      <c r="A21" s="2" t="s">
        <v>207</v>
      </c>
      <c r="B21" s="2">
        <v>20</v>
      </c>
      <c r="C21" s="2" t="s">
        <v>210</v>
      </c>
      <c r="D21" s="2"/>
      <c r="E21" s="2"/>
      <c r="F21" s="2"/>
      <c r="G21" s="2"/>
      <c r="H21" s="2"/>
      <c r="I21" s="2"/>
      <c r="J21" s="2" t="s">
        <v>28</v>
      </c>
      <c r="K21" s="3">
        <v>0</v>
      </c>
      <c r="L21" s="3">
        <v>0</v>
      </c>
      <c r="M21" s="2"/>
      <c r="N21" s="2" t="s">
        <v>273</v>
      </c>
      <c r="O21" s="2"/>
      <c r="P21" s="2" t="s">
        <v>27</v>
      </c>
      <c r="Q21" s="2" t="s">
        <v>215</v>
      </c>
      <c r="R21" s="3">
        <v>150</v>
      </c>
    </row>
    <row r="22" spans="1:18">
      <c r="A22" s="2" t="s">
        <v>274</v>
      </c>
      <c r="B22" s="2" t="s">
        <v>275</v>
      </c>
      <c r="C22" s="2" t="s">
        <v>276</v>
      </c>
      <c r="D22" s="2" t="s">
        <v>277</v>
      </c>
      <c r="E22" s="2" t="s">
        <v>278</v>
      </c>
      <c r="F22" s="2" t="s">
        <v>279</v>
      </c>
      <c r="G22" s="2"/>
      <c r="H22" s="2"/>
      <c r="I22" s="2"/>
      <c r="J22" s="2" t="s">
        <v>280</v>
      </c>
      <c r="K22" s="3">
        <v>0</v>
      </c>
      <c r="L22" s="3">
        <v>0</v>
      </c>
      <c r="M22" s="2"/>
      <c r="N22" s="2" t="s">
        <v>281</v>
      </c>
      <c r="O22" s="2"/>
      <c r="P22" s="2"/>
      <c r="Q22" s="2"/>
      <c r="R22" s="3">
        <v>150</v>
      </c>
    </row>
    <row r="23" spans="1:18">
      <c r="A23" s="2" t="s">
        <v>282</v>
      </c>
      <c r="B23" s="2" t="s">
        <v>275</v>
      </c>
      <c r="C23" s="2" t="s">
        <v>276</v>
      </c>
      <c r="D23" s="2" t="s">
        <v>283</v>
      </c>
      <c r="E23" s="2" t="s">
        <v>284</v>
      </c>
      <c r="F23" s="2" t="s">
        <v>285</v>
      </c>
      <c r="G23" s="2" t="s">
        <v>284</v>
      </c>
      <c r="H23" s="2" t="s">
        <v>286</v>
      </c>
      <c r="I23" s="2"/>
      <c r="J23" s="2" t="s">
        <v>280</v>
      </c>
      <c r="K23" s="3">
        <v>0</v>
      </c>
      <c r="L23" s="3">
        <v>0</v>
      </c>
      <c r="M23" s="2"/>
      <c r="N23" s="2" t="s">
        <v>287</v>
      </c>
      <c r="O23" s="2"/>
      <c r="P23" s="2"/>
      <c r="Q23" s="2"/>
      <c r="R23" s="3">
        <v>150</v>
      </c>
    </row>
    <row r="24" spans="1:18">
      <c r="A24" s="2" t="s">
        <v>288</v>
      </c>
      <c r="B24" s="2" t="s">
        <v>275</v>
      </c>
      <c r="C24" s="2" t="s">
        <v>276</v>
      </c>
      <c r="D24" s="2" t="s">
        <v>289</v>
      </c>
      <c r="E24" s="2" t="s">
        <v>290</v>
      </c>
      <c r="F24" s="2"/>
      <c r="G24" s="2"/>
      <c r="H24" s="2"/>
      <c r="I24" s="2"/>
      <c r="J24" s="2" t="s">
        <v>280</v>
      </c>
      <c r="K24" s="3">
        <v>0</v>
      </c>
      <c r="L24" s="3">
        <v>0</v>
      </c>
      <c r="M24" s="2"/>
      <c r="N24" s="2" t="s">
        <v>291</v>
      </c>
      <c r="O24" s="2"/>
      <c r="P24" s="2"/>
      <c r="Q24" s="2"/>
      <c r="R24" s="3">
        <v>150</v>
      </c>
    </row>
    <row r="25" spans="1:18">
      <c r="A25" s="2" t="s">
        <v>292</v>
      </c>
      <c r="B25" s="2" t="s">
        <v>275</v>
      </c>
      <c r="C25" s="2" t="s">
        <v>276</v>
      </c>
      <c r="D25" s="2" t="s">
        <v>293</v>
      </c>
      <c r="E25" s="2" t="s">
        <v>290</v>
      </c>
      <c r="F25" s="2"/>
      <c r="G25" s="2"/>
      <c r="H25" s="2"/>
      <c r="I25" s="2"/>
      <c r="J25" s="2" t="s">
        <v>280</v>
      </c>
      <c r="K25" s="3">
        <v>0</v>
      </c>
      <c r="L25" s="3">
        <v>0</v>
      </c>
      <c r="M25" s="2"/>
      <c r="N25" s="2" t="s">
        <v>291</v>
      </c>
      <c r="O25" s="2"/>
      <c r="P25" s="2"/>
      <c r="Q25" s="2"/>
      <c r="R25" s="3">
        <v>150</v>
      </c>
    </row>
    <row r="26" spans="1:18">
      <c r="A26" s="2" t="s">
        <v>294</v>
      </c>
      <c r="B26" s="2" t="s">
        <v>275</v>
      </c>
      <c r="C26" s="2" t="s">
        <v>276</v>
      </c>
      <c r="D26" s="2" t="s">
        <v>295</v>
      </c>
      <c r="E26" s="2" t="s">
        <v>290</v>
      </c>
      <c r="F26" s="2"/>
      <c r="G26" s="2"/>
      <c r="H26" s="2"/>
      <c r="I26" s="2"/>
      <c r="J26" s="2" t="s">
        <v>280</v>
      </c>
      <c r="K26" s="3">
        <v>0</v>
      </c>
      <c r="L26" s="3">
        <v>0</v>
      </c>
      <c r="M26" s="2"/>
      <c r="N26" s="2" t="s">
        <v>296</v>
      </c>
      <c r="O26" s="2"/>
      <c r="P26" s="2"/>
      <c r="Q26" s="2"/>
      <c r="R26" s="3">
        <v>150</v>
      </c>
    </row>
    <row r="27" spans="1:18">
      <c r="A27" s="2" t="s">
        <v>297</v>
      </c>
      <c r="B27" s="2" t="s">
        <v>275</v>
      </c>
      <c r="C27" s="2" t="s">
        <v>276</v>
      </c>
      <c r="D27" s="2" t="s">
        <v>298</v>
      </c>
      <c r="E27" s="2" t="s">
        <v>299</v>
      </c>
      <c r="F27" s="2"/>
      <c r="G27" s="2"/>
      <c r="H27" s="2"/>
      <c r="I27" s="2"/>
      <c r="J27" s="2" t="s">
        <v>280</v>
      </c>
      <c r="K27" s="3">
        <v>0</v>
      </c>
      <c r="L27" s="3">
        <v>0</v>
      </c>
      <c r="M27" s="2"/>
      <c r="N27" s="2" t="s">
        <v>296</v>
      </c>
      <c r="O27" s="2"/>
      <c r="P27" s="2"/>
      <c r="Q27" s="2"/>
      <c r="R27" s="3">
        <v>150</v>
      </c>
    </row>
    <row r="28" spans="1:18">
      <c r="A28" s="2" t="s">
        <v>300</v>
      </c>
      <c r="B28" s="2" t="s">
        <v>275</v>
      </c>
      <c r="C28" s="2" t="s">
        <v>276</v>
      </c>
      <c r="D28" s="2" t="s">
        <v>301</v>
      </c>
      <c r="E28" s="2" t="s">
        <v>299</v>
      </c>
      <c r="F28" s="2"/>
      <c r="G28" s="2"/>
      <c r="H28" s="2"/>
      <c r="I28" s="2"/>
      <c r="J28" s="2" t="s">
        <v>280</v>
      </c>
      <c r="K28" s="3">
        <v>0</v>
      </c>
      <c r="L28" s="3">
        <v>0</v>
      </c>
      <c r="M28" s="2"/>
      <c r="N28" s="2" t="s">
        <v>296</v>
      </c>
      <c r="O28" s="2"/>
      <c r="P28" s="2"/>
      <c r="Q28" s="2"/>
      <c r="R28" s="3">
        <v>150</v>
      </c>
    </row>
    <row r="29" spans="1:18">
      <c r="A29" s="2" t="s">
        <v>302</v>
      </c>
      <c r="B29" s="2" t="s">
        <v>275</v>
      </c>
      <c r="C29" s="2" t="s">
        <v>276</v>
      </c>
      <c r="D29" s="2" t="s">
        <v>303</v>
      </c>
      <c r="E29" s="2" t="s">
        <v>299</v>
      </c>
      <c r="F29" s="2"/>
      <c r="G29" s="2"/>
      <c r="H29" s="2"/>
      <c r="I29" s="2"/>
      <c r="J29" s="2" t="s">
        <v>280</v>
      </c>
      <c r="K29" s="3">
        <v>0</v>
      </c>
      <c r="L29" s="3">
        <v>0</v>
      </c>
      <c r="M29" s="2"/>
      <c r="N29" s="2" t="s">
        <v>296</v>
      </c>
      <c r="O29" s="2"/>
      <c r="P29" s="2"/>
      <c r="Q29" s="2"/>
      <c r="R29" s="3">
        <v>150</v>
      </c>
    </row>
    <row r="30" spans="1:18">
      <c r="A30" s="2" t="s">
        <v>304</v>
      </c>
      <c r="B30" s="2" t="s">
        <v>275</v>
      </c>
      <c r="C30" s="2" t="s">
        <v>276</v>
      </c>
      <c r="D30" s="2" t="s">
        <v>305</v>
      </c>
      <c r="E30" s="2" t="s">
        <v>299</v>
      </c>
      <c r="F30" s="2"/>
      <c r="G30" s="2"/>
      <c r="H30" s="2"/>
      <c r="I30" s="2"/>
      <c r="J30" s="2" t="s">
        <v>280</v>
      </c>
      <c r="K30" s="3">
        <v>0</v>
      </c>
      <c r="L30" s="3">
        <v>0</v>
      </c>
      <c r="M30" s="2"/>
      <c r="N30" s="2" t="s">
        <v>296</v>
      </c>
      <c r="O30" s="2"/>
      <c r="P30" s="2"/>
      <c r="Q30" s="2"/>
      <c r="R30" s="3">
        <v>150</v>
      </c>
    </row>
    <row r="31" spans="1:18">
      <c r="A31" s="2" t="s">
        <v>306</v>
      </c>
      <c r="B31" s="2" t="s">
        <v>275</v>
      </c>
      <c r="C31" s="2" t="s">
        <v>276</v>
      </c>
      <c r="D31" s="2" t="s">
        <v>307</v>
      </c>
      <c r="E31" s="2" t="s">
        <v>299</v>
      </c>
      <c r="F31" s="2"/>
      <c r="G31" s="2"/>
      <c r="H31" s="2"/>
      <c r="I31" s="2"/>
      <c r="J31" s="2" t="s">
        <v>280</v>
      </c>
      <c r="K31" s="3">
        <v>0</v>
      </c>
      <c r="L31" s="3">
        <v>0</v>
      </c>
      <c r="M31" s="2"/>
      <c r="N31" s="2" t="s">
        <v>296</v>
      </c>
      <c r="O31" s="2"/>
      <c r="P31" s="2"/>
      <c r="Q31" s="2"/>
      <c r="R31" s="3">
        <v>150</v>
      </c>
    </row>
    <row r="32" spans="1:18">
      <c r="A32" s="2" t="s">
        <v>308</v>
      </c>
      <c r="B32" s="2" t="s">
        <v>275</v>
      </c>
      <c r="C32" s="2" t="s">
        <v>276</v>
      </c>
      <c r="D32" s="2" t="s">
        <v>309</v>
      </c>
      <c r="E32" s="2" t="s">
        <v>290</v>
      </c>
      <c r="F32" s="2" t="s">
        <v>310</v>
      </c>
      <c r="G32" s="2"/>
      <c r="H32" s="2"/>
      <c r="I32" s="2"/>
      <c r="J32" s="2" t="s">
        <v>280</v>
      </c>
      <c r="K32" s="3">
        <v>0</v>
      </c>
      <c r="L32" s="3">
        <v>0</v>
      </c>
      <c r="M32" s="2"/>
      <c r="N32" s="2" t="s">
        <v>311</v>
      </c>
      <c r="O32" s="2"/>
      <c r="P32" s="2"/>
      <c r="Q32" s="2"/>
      <c r="R32" s="3">
        <v>150</v>
      </c>
    </row>
    <row r="33" spans="1:18">
      <c r="A33" s="2" t="s">
        <v>312</v>
      </c>
      <c r="B33" s="2" t="s">
        <v>275</v>
      </c>
      <c r="C33" s="2" t="s">
        <v>276</v>
      </c>
      <c r="D33" s="2" t="s">
        <v>313</v>
      </c>
      <c r="E33" s="2" t="s">
        <v>290</v>
      </c>
      <c r="F33" s="2"/>
      <c r="G33" s="2"/>
      <c r="H33" s="2"/>
      <c r="I33" s="2"/>
      <c r="J33" s="2" t="s">
        <v>280</v>
      </c>
      <c r="K33" s="3">
        <v>0</v>
      </c>
      <c r="L33" s="3">
        <v>0</v>
      </c>
      <c r="M33" s="2"/>
      <c r="N33" s="2" t="s">
        <v>296</v>
      </c>
      <c r="O33" s="2"/>
      <c r="P33" s="2"/>
      <c r="Q33" s="2"/>
      <c r="R33" s="3">
        <v>150</v>
      </c>
    </row>
    <row r="34" spans="1:18">
      <c r="A34" s="2" t="s">
        <v>314</v>
      </c>
      <c r="B34" s="2" t="s">
        <v>275</v>
      </c>
      <c r="C34" s="2" t="s">
        <v>276</v>
      </c>
      <c r="D34" s="2" t="s">
        <v>315</v>
      </c>
      <c r="E34" s="2" t="s">
        <v>290</v>
      </c>
      <c r="F34" s="2"/>
      <c r="G34" s="2"/>
      <c r="H34" s="2"/>
      <c r="I34" s="2"/>
      <c r="J34" s="2" t="s">
        <v>280</v>
      </c>
      <c r="K34" s="3">
        <v>0</v>
      </c>
      <c r="L34" s="3">
        <v>0</v>
      </c>
      <c r="M34" s="2"/>
      <c r="N34" s="2" t="s">
        <v>296</v>
      </c>
      <c r="O34" s="2"/>
      <c r="P34" s="2"/>
      <c r="Q34" s="2"/>
      <c r="R34" s="3">
        <v>150</v>
      </c>
    </row>
    <row r="35" spans="1:18">
      <c r="A35" s="2" t="s">
        <v>316</v>
      </c>
      <c r="B35" s="2" t="s">
        <v>275</v>
      </c>
      <c r="C35" s="2" t="s">
        <v>276</v>
      </c>
      <c r="D35" s="2" t="s">
        <v>317</v>
      </c>
      <c r="E35" s="2" t="s">
        <v>290</v>
      </c>
      <c r="F35" s="2"/>
      <c r="G35" s="2"/>
      <c r="H35" s="2"/>
      <c r="I35" s="2"/>
      <c r="J35" s="2" t="s">
        <v>280</v>
      </c>
      <c r="K35" s="3">
        <v>0</v>
      </c>
      <c r="L35" s="3">
        <v>0</v>
      </c>
      <c r="M35" s="2"/>
      <c r="N35" s="2" t="s">
        <v>296</v>
      </c>
      <c r="O35" s="2"/>
      <c r="P35" s="2"/>
      <c r="Q35" s="2"/>
      <c r="R35" s="3">
        <v>150</v>
      </c>
    </row>
    <row r="36" spans="1:18">
      <c r="A36" s="2" t="s">
        <v>318</v>
      </c>
      <c r="B36" s="2" t="s">
        <v>275</v>
      </c>
      <c r="C36" s="2" t="s">
        <v>276</v>
      </c>
      <c r="D36" s="2" t="s">
        <v>319</v>
      </c>
      <c r="E36" s="2" t="s">
        <v>290</v>
      </c>
      <c r="F36" s="2"/>
      <c r="G36" s="2"/>
      <c r="H36" s="2"/>
      <c r="I36" s="2"/>
      <c r="J36" s="2" t="s">
        <v>280</v>
      </c>
      <c r="K36" s="3">
        <v>0</v>
      </c>
      <c r="L36" s="3">
        <v>0</v>
      </c>
      <c r="M36" s="2"/>
      <c r="N36" s="2" t="s">
        <v>296</v>
      </c>
      <c r="O36" s="2"/>
      <c r="P36" s="2"/>
      <c r="Q36" s="2"/>
      <c r="R36" s="3">
        <v>150</v>
      </c>
    </row>
  </sheetData>
  <autoFilter ref="A1:R36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4.7109375" customWidth="1"/>
    <col min="3" max="3" width="44.7109375" customWidth="1"/>
    <col min="4" max="4" width="24.7109375" customWidth="1"/>
    <col min="5" max="5" width="44.7109375" customWidth="1"/>
    <col min="6" max="6" width="24.7109375" customWidth="1"/>
    <col min="7" max="7" width="44.7109375" customWidth="1"/>
    <col min="8" max="8" width="36.7109375" customWidth="1"/>
    <col min="9" max="9" width="18.7109375" customWidth="1"/>
    <col min="10" max="10" width="66.7109375" customWidth="1"/>
    <col min="11" max="11" width="12.7109375" customWidth="1"/>
    <col min="12" max="12" width="14.7109375" customWidth="1"/>
  </cols>
  <sheetData>
    <row r="1" spans="1:12">
      <c r="A1" s="1" t="s">
        <v>1</v>
      </c>
      <c r="B1" s="1" t="s">
        <v>259</v>
      </c>
      <c r="C1" s="1" t="s">
        <v>320</v>
      </c>
      <c r="D1" s="1" t="s">
        <v>261</v>
      </c>
      <c r="E1" s="1" t="s">
        <v>321</v>
      </c>
      <c r="F1" s="1" t="s">
        <v>263</v>
      </c>
      <c r="G1" s="1" t="s">
        <v>322</v>
      </c>
      <c r="H1" s="1" t="s">
        <v>264</v>
      </c>
      <c r="I1" s="1" t="s">
        <v>217</v>
      </c>
      <c r="J1" s="1" t="s">
        <v>268</v>
      </c>
      <c r="K1" s="1" t="s">
        <v>266</v>
      </c>
      <c r="L1" s="1" t="s">
        <v>267</v>
      </c>
    </row>
    <row r="2" spans="1:12">
      <c r="A2" s="2" t="s">
        <v>282</v>
      </c>
      <c r="B2" s="2" t="s">
        <v>283</v>
      </c>
      <c r="C2" s="2" t="s">
        <v>323</v>
      </c>
      <c r="D2" s="2" t="s">
        <v>285</v>
      </c>
      <c r="E2" s="2" t="s">
        <v>324</v>
      </c>
      <c r="F2" s="2" t="s">
        <v>286</v>
      </c>
      <c r="G2" s="2" t="s">
        <v>325</v>
      </c>
      <c r="H2" s="2"/>
      <c r="I2" s="2" t="s">
        <v>280</v>
      </c>
      <c r="J2" s="2" t="s">
        <v>287</v>
      </c>
      <c r="K2" s="3">
        <v>0</v>
      </c>
      <c r="L2" s="2"/>
    </row>
    <row r="3" spans="1:12">
      <c r="A3" s="2" t="s">
        <v>318</v>
      </c>
      <c r="B3" s="2" t="s">
        <v>319</v>
      </c>
      <c r="C3" s="2" t="s">
        <v>326</v>
      </c>
      <c r="D3" s="2"/>
      <c r="E3" s="2"/>
      <c r="F3" s="2"/>
      <c r="G3" s="2"/>
      <c r="H3" s="2"/>
      <c r="I3" s="2" t="s">
        <v>280</v>
      </c>
      <c r="J3" s="2" t="s">
        <v>296</v>
      </c>
      <c r="K3" s="3">
        <v>0</v>
      </c>
      <c r="L3" s="2"/>
    </row>
    <row r="4" spans="1:12">
      <c r="A4" s="2" t="s">
        <v>292</v>
      </c>
      <c r="B4" s="2" t="s">
        <v>293</v>
      </c>
      <c r="C4" s="2" t="s">
        <v>327</v>
      </c>
      <c r="D4" s="2"/>
      <c r="E4" s="2"/>
      <c r="F4" s="2"/>
      <c r="G4" s="2"/>
      <c r="H4" s="2"/>
      <c r="I4" s="2" t="s">
        <v>280</v>
      </c>
      <c r="J4" s="2" t="s">
        <v>291</v>
      </c>
      <c r="K4" s="3">
        <v>0</v>
      </c>
      <c r="L4" s="2"/>
    </row>
    <row r="5" spans="1:12">
      <c r="A5" s="2" t="s">
        <v>308</v>
      </c>
      <c r="B5" s="2" t="s">
        <v>309</v>
      </c>
      <c r="C5" s="2" t="s">
        <v>328</v>
      </c>
      <c r="D5" s="2" t="s">
        <v>310</v>
      </c>
      <c r="E5" s="2" t="s">
        <v>329</v>
      </c>
      <c r="F5" s="2"/>
      <c r="G5" s="2"/>
      <c r="H5" s="2"/>
      <c r="I5" s="2" t="s">
        <v>280</v>
      </c>
      <c r="J5" s="2" t="s">
        <v>311</v>
      </c>
      <c r="K5" s="3">
        <v>0</v>
      </c>
      <c r="L5" s="2"/>
    </row>
    <row r="6" spans="1:12">
      <c r="A6" s="2" t="s">
        <v>316</v>
      </c>
      <c r="B6" s="2" t="s">
        <v>317</v>
      </c>
      <c r="C6" s="2" t="s">
        <v>330</v>
      </c>
      <c r="D6" s="2"/>
      <c r="E6" s="2"/>
      <c r="F6" s="2"/>
      <c r="G6" s="2"/>
      <c r="H6" s="2"/>
      <c r="I6" s="2" t="s">
        <v>280</v>
      </c>
      <c r="J6" s="2" t="s">
        <v>296</v>
      </c>
      <c r="K6" s="3">
        <v>0</v>
      </c>
      <c r="L6" s="2"/>
    </row>
    <row r="7" spans="1:12">
      <c r="A7" s="2" t="s">
        <v>314</v>
      </c>
      <c r="B7" s="2" t="s">
        <v>315</v>
      </c>
      <c r="C7" s="2" t="s">
        <v>331</v>
      </c>
      <c r="D7" s="2"/>
      <c r="E7" s="2"/>
      <c r="F7" s="2"/>
      <c r="G7" s="2"/>
      <c r="H7" s="2"/>
      <c r="I7" s="2" t="s">
        <v>280</v>
      </c>
      <c r="J7" s="2" t="s">
        <v>296</v>
      </c>
      <c r="K7" s="3">
        <v>0</v>
      </c>
      <c r="L7" s="2"/>
    </row>
    <row r="8" spans="1:12">
      <c r="A8" s="2" t="s">
        <v>288</v>
      </c>
      <c r="B8" s="2" t="s">
        <v>289</v>
      </c>
      <c r="C8" s="2" t="s">
        <v>332</v>
      </c>
      <c r="D8" s="2"/>
      <c r="E8" s="2"/>
      <c r="F8" s="2"/>
      <c r="G8" s="2"/>
      <c r="H8" s="2"/>
      <c r="I8" s="2" t="s">
        <v>280</v>
      </c>
      <c r="J8" s="2" t="s">
        <v>291</v>
      </c>
      <c r="K8" s="3">
        <v>0</v>
      </c>
      <c r="L8" s="2"/>
    </row>
    <row r="9" spans="1:12">
      <c r="A9" s="2" t="s">
        <v>274</v>
      </c>
      <c r="B9" s="2" t="s">
        <v>277</v>
      </c>
      <c r="C9" s="2" t="s">
        <v>333</v>
      </c>
      <c r="D9" s="2" t="s">
        <v>279</v>
      </c>
      <c r="E9" s="2" t="s">
        <v>334</v>
      </c>
      <c r="F9" s="2"/>
      <c r="G9" s="2"/>
      <c r="H9" s="2"/>
      <c r="I9" s="2" t="s">
        <v>280</v>
      </c>
      <c r="J9" s="2" t="s">
        <v>281</v>
      </c>
      <c r="K9" s="3">
        <v>0</v>
      </c>
      <c r="L9" s="2"/>
    </row>
    <row r="10" spans="1:12">
      <c r="A10" s="2" t="s">
        <v>294</v>
      </c>
      <c r="B10" s="2" t="s">
        <v>295</v>
      </c>
      <c r="C10" s="2" t="s">
        <v>335</v>
      </c>
      <c r="D10" s="2"/>
      <c r="E10" s="2"/>
      <c r="F10" s="2"/>
      <c r="G10" s="2"/>
      <c r="H10" s="2"/>
      <c r="I10" s="2" t="s">
        <v>280</v>
      </c>
      <c r="J10" s="2" t="s">
        <v>296</v>
      </c>
      <c r="K10" s="3">
        <v>0</v>
      </c>
      <c r="L10" s="2"/>
    </row>
    <row r="11" spans="1:12">
      <c r="A11" s="2" t="s">
        <v>312</v>
      </c>
      <c r="B11" s="2" t="s">
        <v>313</v>
      </c>
      <c r="C11" s="2" t="s">
        <v>336</v>
      </c>
      <c r="D11" s="2"/>
      <c r="E11" s="2"/>
      <c r="F11" s="2"/>
      <c r="G11" s="2"/>
      <c r="H11" s="2"/>
      <c r="I11" s="2" t="s">
        <v>280</v>
      </c>
      <c r="J11" s="2" t="s">
        <v>296</v>
      </c>
      <c r="K11" s="3">
        <v>0</v>
      </c>
      <c r="L11" s="2"/>
    </row>
    <row r="12" spans="1:12">
      <c r="A12" s="2" t="s">
        <v>337</v>
      </c>
      <c r="B12" s="2" t="s">
        <v>338</v>
      </c>
      <c r="C12" s="2" t="s">
        <v>339</v>
      </c>
      <c r="D12" s="2"/>
      <c r="E12" s="2"/>
      <c r="F12" s="2"/>
      <c r="G12" s="2"/>
      <c r="H12" s="2"/>
      <c r="I12" s="2" t="s">
        <v>280</v>
      </c>
      <c r="J12" s="2" t="s">
        <v>340</v>
      </c>
      <c r="K12" s="3">
        <v>0</v>
      </c>
      <c r="L12" s="2"/>
    </row>
    <row r="13" spans="1:12">
      <c r="A13" s="2" t="s">
        <v>302</v>
      </c>
      <c r="B13" s="2" t="s">
        <v>303</v>
      </c>
      <c r="C13" s="2" t="s">
        <v>341</v>
      </c>
      <c r="D13" s="2"/>
      <c r="E13" s="2"/>
      <c r="F13" s="2"/>
      <c r="G13" s="2"/>
      <c r="H13" s="2"/>
      <c r="I13" s="2" t="s">
        <v>280</v>
      </c>
      <c r="J13" s="2" t="s">
        <v>296</v>
      </c>
      <c r="K13" s="3">
        <v>0</v>
      </c>
      <c r="L13" s="2"/>
    </row>
    <row r="14" spans="1:12">
      <c r="A14" s="2" t="s">
        <v>297</v>
      </c>
      <c r="B14" s="2" t="s">
        <v>298</v>
      </c>
      <c r="C14" s="2" t="s">
        <v>342</v>
      </c>
      <c r="D14" s="2"/>
      <c r="E14" s="2"/>
      <c r="F14" s="2"/>
      <c r="G14" s="2"/>
      <c r="H14" s="2"/>
      <c r="I14" s="2" t="s">
        <v>280</v>
      </c>
      <c r="J14" s="2" t="s">
        <v>296</v>
      </c>
      <c r="K14" s="3">
        <v>0</v>
      </c>
      <c r="L14" s="2"/>
    </row>
    <row r="15" spans="1:12">
      <c r="A15" s="2" t="s">
        <v>304</v>
      </c>
      <c r="B15" s="2" t="s">
        <v>305</v>
      </c>
      <c r="C15" s="2" t="s">
        <v>343</v>
      </c>
      <c r="D15" s="2"/>
      <c r="E15" s="2"/>
      <c r="F15" s="2"/>
      <c r="G15" s="2"/>
      <c r="H15" s="2"/>
      <c r="I15" s="2" t="s">
        <v>280</v>
      </c>
      <c r="J15" s="2" t="s">
        <v>296</v>
      </c>
      <c r="K15" s="3">
        <v>0</v>
      </c>
      <c r="L15" s="2"/>
    </row>
    <row r="16" spans="1:12">
      <c r="A16" s="2" t="s">
        <v>306</v>
      </c>
      <c r="B16" s="2" t="s">
        <v>307</v>
      </c>
      <c r="C16" s="2" t="s">
        <v>344</v>
      </c>
      <c r="D16" s="2"/>
      <c r="E16" s="2"/>
      <c r="F16" s="2"/>
      <c r="G16" s="2"/>
      <c r="H16" s="2"/>
      <c r="I16" s="2" t="s">
        <v>280</v>
      </c>
      <c r="J16" s="2" t="s">
        <v>296</v>
      </c>
      <c r="K16" s="3">
        <v>0</v>
      </c>
      <c r="L16" s="2"/>
    </row>
    <row r="17" spans="1:12">
      <c r="A17" s="2" t="s">
        <v>300</v>
      </c>
      <c r="B17" s="2" t="s">
        <v>301</v>
      </c>
      <c r="C17" s="2" t="s">
        <v>345</v>
      </c>
      <c r="D17" s="2"/>
      <c r="E17" s="2"/>
      <c r="F17" s="2"/>
      <c r="G17" s="2"/>
      <c r="H17" s="2"/>
      <c r="I17" s="2" t="s">
        <v>280</v>
      </c>
      <c r="J17" s="2" t="s">
        <v>296</v>
      </c>
      <c r="K17" s="3">
        <v>0</v>
      </c>
      <c r="L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24.7109375" customWidth="1"/>
    <col min="4" max="4" width="34.7109375" customWidth="1"/>
    <col min="5" max="6" width="12.7109375" customWidth="1"/>
    <col min="7" max="7" width="14.7109375" customWidth="1"/>
    <col min="8" max="8" width="12.7109375" customWidth="1"/>
    <col min="9" max="9" width="64.7109375" customWidth="1"/>
  </cols>
  <sheetData>
    <row r="1" spans="1:9">
      <c r="A1" s="4" t="s">
        <v>1</v>
      </c>
      <c r="B1" s="4" t="s">
        <v>217</v>
      </c>
      <c r="C1" s="4" t="s">
        <v>259</v>
      </c>
      <c r="D1" s="4" t="s">
        <v>264</v>
      </c>
      <c r="E1" s="4" t="s">
        <v>265</v>
      </c>
      <c r="F1" s="4" t="s">
        <v>266</v>
      </c>
      <c r="G1" s="4" t="s">
        <v>346</v>
      </c>
      <c r="H1" s="4" t="s">
        <v>269</v>
      </c>
      <c r="I1" s="4" t="s">
        <v>268</v>
      </c>
    </row>
    <row r="2" spans="1:9">
      <c r="A2" s="2" t="s">
        <v>347</v>
      </c>
      <c r="B2" s="2" t="s">
        <v>28</v>
      </c>
      <c r="C2" s="2"/>
      <c r="D2" s="2"/>
      <c r="E2" s="3">
        <v>0</v>
      </c>
      <c r="F2" s="3">
        <v>0</v>
      </c>
      <c r="G2" s="2" t="s">
        <v>27</v>
      </c>
      <c r="H2" s="2"/>
      <c r="I2" s="2" t="s">
        <v>348</v>
      </c>
    </row>
    <row r="3" spans="1:9">
      <c r="A3" s="2" t="s">
        <v>349</v>
      </c>
      <c r="B3" s="2" t="s">
        <v>28</v>
      </c>
      <c r="C3" s="2"/>
      <c r="D3" s="2"/>
      <c r="E3" s="3">
        <v>0</v>
      </c>
      <c r="F3" s="3">
        <v>0</v>
      </c>
      <c r="G3" s="2" t="s">
        <v>350</v>
      </c>
      <c r="H3" s="2"/>
      <c r="I3" s="2"/>
    </row>
    <row r="4" spans="1:9">
      <c r="A4" s="2" t="s">
        <v>351</v>
      </c>
      <c r="B4" s="2" t="s">
        <v>28</v>
      </c>
      <c r="C4" s="2"/>
      <c r="D4" s="2"/>
      <c r="E4" s="3">
        <v>0</v>
      </c>
      <c r="F4" s="3">
        <v>0</v>
      </c>
      <c r="G4" s="2" t="s">
        <v>350</v>
      </c>
      <c r="H4" s="2"/>
      <c r="I4" s="2"/>
    </row>
    <row r="5" spans="1:9">
      <c r="A5" s="2" t="s">
        <v>337</v>
      </c>
      <c r="B5" s="2" t="s">
        <v>280</v>
      </c>
      <c r="C5" s="2" t="s">
        <v>338</v>
      </c>
      <c r="D5" s="2"/>
      <c r="E5" s="3">
        <v>0</v>
      </c>
      <c r="F5" s="3">
        <v>0</v>
      </c>
      <c r="G5" s="2" t="s">
        <v>350</v>
      </c>
      <c r="H5" s="2"/>
      <c r="I5" s="2" t="s">
        <v>340</v>
      </c>
    </row>
    <row r="6" spans="1:9">
      <c r="A6" s="2" t="s">
        <v>352</v>
      </c>
      <c r="B6" s="2" t="s">
        <v>28</v>
      </c>
      <c r="C6" s="2"/>
      <c r="D6" s="2"/>
      <c r="E6" s="3">
        <v>0</v>
      </c>
      <c r="F6" s="3">
        <v>0</v>
      </c>
      <c r="G6" s="2" t="s">
        <v>350</v>
      </c>
      <c r="H6" s="2"/>
      <c r="I6" s="2"/>
    </row>
    <row r="7" spans="1:9">
      <c r="A7" s="2" t="s">
        <v>353</v>
      </c>
      <c r="B7" s="2" t="s">
        <v>28</v>
      </c>
      <c r="C7" s="2"/>
      <c r="D7" s="2"/>
      <c r="E7" s="3">
        <v>0</v>
      </c>
      <c r="F7" s="3">
        <v>0</v>
      </c>
      <c r="G7" s="2" t="s">
        <v>350</v>
      </c>
      <c r="H7" s="2"/>
      <c r="I7" s="2"/>
    </row>
    <row r="8" spans="1:9">
      <c r="A8" s="2" t="s">
        <v>354</v>
      </c>
      <c r="B8" s="2" t="s">
        <v>28</v>
      </c>
      <c r="C8" s="2"/>
      <c r="D8" s="2"/>
      <c r="E8" s="3">
        <v>0</v>
      </c>
      <c r="F8" s="3">
        <v>0</v>
      </c>
      <c r="G8" s="2" t="s">
        <v>350</v>
      </c>
      <c r="H8" s="2"/>
      <c r="I8" s="2"/>
    </row>
    <row r="9" spans="1:9">
      <c r="A9" s="2" t="s">
        <v>355</v>
      </c>
      <c r="B9" s="2" t="s">
        <v>28</v>
      </c>
      <c r="C9" s="2"/>
      <c r="D9" s="2"/>
      <c r="E9" s="3">
        <v>0</v>
      </c>
      <c r="F9" s="3">
        <v>0</v>
      </c>
      <c r="G9" s="2" t="s">
        <v>284</v>
      </c>
      <c r="H9" s="2"/>
      <c r="I9" s="2"/>
    </row>
    <row r="10" spans="1:9">
      <c r="A10" s="2" t="s">
        <v>356</v>
      </c>
      <c r="B10" s="2" t="s">
        <v>28</v>
      </c>
      <c r="C10" s="2"/>
      <c r="D10" s="2"/>
      <c r="E10" s="3">
        <v>0</v>
      </c>
      <c r="F10" s="3">
        <v>0</v>
      </c>
      <c r="G10" s="2" t="s">
        <v>299</v>
      </c>
      <c r="H10" s="2"/>
      <c r="I10" s="2" t="s">
        <v>357</v>
      </c>
    </row>
    <row r="11" spans="1:9">
      <c r="A11" s="2" t="s">
        <v>358</v>
      </c>
      <c r="B11" s="2" t="s">
        <v>28</v>
      </c>
      <c r="C11" s="2"/>
      <c r="D11" s="2"/>
      <c r="E11" s="3">
        <v>0</v>
      </c>
      <c r="F11" s="3">
        <v>0</v>
      </c>
      <c r="G11" s="2" t="s">
        <v>284</v>
      </c>
      <c r="H11" s="2"/>
      <c r="I11" s="2"/>
    </row>
    <row r="12" spans="1:9">
      <c r="A12" s="2" t="s">
        <v>359</v>
      </c>
      <c r="B12" s="2" t="s">
        <v>28</v>
      </c>
      <c r="C12" s="2"/>
      <c r="D12" s="2"/>
      <c r="E12" s="3">
        <v>0</v>
      </c>
      <c r="F12" s="3">
        <v>0</v>
      </c>
      <c r="G12" s="2" t="s">
        <v>290</v>
      </c>
      <c r="H12" s="2"/>
      <c r="I12" s="2"/>
    </row>
    <row r="13" spans="1:9">
      <c r="A13" s="2" t="s">
        <v>360</v>
      </c>
      <c r="B13" s="2" t="s">
        <v>28</v>
      </c>
      <c r="C13" s="2"/>
      <c r="D13" s="2"/>
      <c r="E13" s="3">
        <v>0</v>
      </c>
      <c r="F13" s="3">
        <v>0</v>
      </c>
      <c r="G13" s="2" t="s">
        <v>278</v>
      </c>
      <c r="H13" s="2"/>
      <c r="I13" s="2"/>
    </row>
    <row r="14" spans="1:9">
      <c r="A14" s="2" t="s">
        <v>361</v>
      </c>
      <c r="B14" s="2" t="s">
        <v>28</v>
      </c>
      <c r="C14" s="2"/>
      <c r="D14" s="2"/>
      <c r="E14" s="3">
        <v>0</v>
      </c>
      <c r="F14" s="3">
        <v>0</v>
      </c>
      <c r="G14" s="2" t="s">
        <v>27</v>
      </c>
      <c r="H14" s="2"/>
      <c r="I14" s="2" t="s">
        <v>348</v>
      </c>
    </row>
    <row r="15" spans="1:9">
      <c r="A15" s="2" t="s">
        <v>362</v>
      </c>
      <c r="B15" s="2" t="s">
        <v>28</v>
      </c>
      <c r="C15" s="2"/>
      <c r="D15" s="2"/>
      <c r="E15" s="3">
        <v>0</v>
      </c>
      <c r="F15" s="3">
        <v>0</v>
      </c>
      <c r="G15" s="2" t="s">
        <v>284</v>
      </c>
      <c r="H15" s="2"/>
      <c r="I15" s="2"/>
    </row>
    <row r="16" spans="1:9">
      <c r="A16" s="2" t="s">
        <v>363</v>
      </c>
      <c r="B16" s="2" t="s">
        <v>28</v>
      </c>
      <c r="C16" s="2"/>
      <c r="D16" s="2"/>
      <c r="E16" s="3">
        <v>0</v>
      </c>
      <c r="F16" s="3">
        <v>0</v>
      </c>
      <c r="G16" s="2" t="s">
        <v>284</v>
      </c>
      <c r="H16" s="2"/>
      <c r="I16" s="2"/>
    </row>
    <row r="17" spans="1:9">
      <c r="A17" s="2" t="s">
        <v>364</v>
      </c>
      <c r="B17" s="2" t="s">
        <v>28</v>
      </c>
      <c r="C17" s="2"/>
      <c r="D17" s="2"/>
      <c r="E17" s="3">
        <v>0</v>
      </c>
      <c r="F17" s="3">
        <v>0</v>
      </c>
      <c r="G17" s="2" t="s">
        <v>290</v>
      </c>
      <c r="H17" s="2"/>
      <c r="I17" s="2"/>
    </row>
    <row r="18" spans="1:9">
      <c r="A18" s="2" t="s">
        <v>365</v>
      </c>
      <c r="B18" s="2" t="s">
        <v>28</v>
      </c>
      <c r="C18" s="2"/>
      <c r="D18" s="2"/>
      <c r="E18" s="3">
        <v>0</v>
      </c>
      <c r="F18" s="3">
        <v>0</v>
      </c>
      <c r="G18" s="2" t="s">
        <v>27</v>
      </c>
      <c r="H18" s="2"/>
      <c r="I18" s="2" t="s">
        <v>348</v>
      </c>
    </row>
    <row r="19" spans="1:9">
      <c r="A19" s="2" t="s">
        <v>366</v>
      </c>
      <c r="B19" s="2" t="s">
        <v>28</v>
      </c>
      <c r="C19" s="2"/>
      <c r="D19" s="2"/>
      <c r="E19" s="3">
        <v>0</v>
      </c>
      <c r="F19" s="3">
        <v>0</v>
      </c>
      <c r="G19" s="2" t="s">
        <v>27</v>
      </c>
      <c r="H19" s="2"/>
      <c r="I19" s="2" t="s">
        <v>348</v>
      </c>
    </row>
    <row r="20" spans="1:9">
      <c r="A20" s="2" t="s">
        <v>367</v>
      </c>
      <c r="B20" s="2" t="s">
        <v>28</v>
      </c>
      <c r="C20" s="2"/>
      <c r="D20" s="2"/>
      <c r="E20" s="3">
        <v>0</v>
      </c>
      <c r="F20" s="3">
        <v>0</v>
      </c>
      <c r="G20" s="2" t="s">
        <v>27</v>
      </c>
      <c r="H20" s="2"/>
      <c r="I20" s="2" t="s">
        <v>348</v>
      </c>
    </row>
    <row r="21" spans="1:9">
      <c r="A21" s="2" t="s">
        <v>368</v>
      </c>
      <c r="B21" s="2" t="s">
        <v>28</v>
      </c>
      <c r="C21" s="2"/>
      <c r="D21" s="2"/>
      <c r="E21" s="3">
        <v>0</v>
      </c>
      <c r="F21" s="3">
        <v>0</v>
      </c>
      <c r="G21" s="2" t="s">
        <v>369</v>
      </c>
      <c r="H21" s="2"/>
      <c r="I21" s="2" t="s">
        <v>370</v>
      </c>
    </row>
    <row r="22" spans="1:9">
      <c r="A22" s="2" t="s">
        <v>371</v>
      </c>
      <c r="B22" s="2" t="s">
        <v>28</v>
      </c>
      <c r="C22" s="2"/>
      <c r="D22" s="2"/>
      <c r="E22" s="3">
        <v>0</v>
      </c>
      <c r="F22" s="3">
        <v>0</v>
      </c>
      <c r="G22" s="2" t="s">
        <v>27</v>
      </c>
      <c r="H22" s="2"/>
      <c r="I22" s="2" t="s">
        <v>348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2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62.7109375" customWidth="1"/>
    <col min="3" max="3" width="50.7109375" customWidth="1"/>
    <col min="4" max="4" width="14.7109375" customWidth="1"/>
    <col min="5" max="5" width="34.7109375" customWidth="1"/>
    <col min="6" max="6" width="58.7109375" customWidth="1"/>
  </cols>
  <sheetData>
    <row r="1" spans="1:6">
      <c r="A1" s="1" t="s">
        <v>1</v>
      </c>
      <c r="B1" s="1" t="s">
        <v>5</v>
      </c>
      <c r="C1" s="1" t="s">
        <v>12</v>
      </c>
      <c r="D1" s="1" t="s">
        <v>372</v>
      </c>
      <c r="E1" s="1" t="s">
        <v>373</v>
      </c>
      <c r="F1" s="1" t="s">
        <v>374</v>
      </c>
    </row>
    <row r="2" spans="1:6">
      <c r="A2" s="2" t="s">
        <v>15</v>
      </c>
      <c r="B2" s="2" t="s">
        <v>19</v>
      </c>
      <c r="C2" s="2" t="s">
        <v>26</v>
      </c>
      <c r="D2" s="2" t="s">
        <v>27</v>
      </c>
      <c r="E2" s="2" t="s">
        <v>21</v>
      </c>
      <c r="F2" s="2" t="s">
        <v>375</v>
      </c>
    </row>
    <row r="3" spans="1:6">
      <c r="A3" s="2" t="s">
        <v>29</v>
      </c>
      <c r="B3" s="2" t="s">
        <v>32</v>
      </c>
      <c r="C3" s="2" t="s">
        <v>39</v>
      </c>
      <c r="D3" s="2" t="s">
        <v>27</v>
      </c>
      <c r="E3" s="2" t="s">
        <v>34</v>
      </c>
      <c r="F3" s="2" t="s">
        <v>375</v>
      </c>
    </row>
    <row r="4" spans="1:6">
      <c r="A4" s="2" t="s">
        <v>40</v>
      </c>
      <c r="B4" s="2" t="s">
        <v>42</v>
      </c>
      <c r="C4" s="2" t="s">
        <v>49</v>
      </c>
      <c r="D4" s="2" t="s">
        <v>27</v>
      </c>
      <c r="E4" s="2" t="s">
        <v>44</v>
      </c>
      <c r="F4" s="2" t="s">
        <v>375</v>
      </c>
    </row>
    <row r="5" spans="1:6">
      <c r="A5" s="2" t="s">
        <v>50</v>
      </c>
      <c r="B5" s="2" t="s">
        <v>53</v>
      </c>
      <c r="C5" s="2" t="s">
        <v>60</v>
      </c>
      <c r="D5" s="2" t="s">
        <v>27</v>
      </c>
      <c r="E5" s="2" t="s">
        <v>55</v>
      </c>
      <c r="F5" s="2" t="s">
        <v>375</v>
      </c>
    </row>
    <row r="6" spans="1:6">
      <c r="A6" s="2" t="s">
        <v>61</v>
      </c>
      <c r="B6" s="2" t="s">
        <v>64</v>
      </c>
      <c r="C6" s="2" t="s">
        <v>71</v>
      </c>
      <c r="D6" s="2" t="s">
        <v>27</v>
      </c>
      <c r="E6" s="2" t="s">
        <v>66</v>
      </c>
      <c r="F6" s="2" t="s">
        <v>375</v>
      </c>
    </row>
    <row r="7" spans="1:6">
      <c r="A7" s="2" t="s">
        <v>72</v>
      </c>
      <c r="B7" s="2" t="s">
        <v>75</v>
      </c>
      <c r="C7" s="2" t="s">
        <v>82</v>
      </c>
      <c r="D7" s="2" t="s">
        <v>27</v>
      </c>
      <c r="E7" s="2" t="s">
        <v>77</v>
      </c>
      <c r="F7" s="2" t="s">
        <v>375</v>
      </c>
    </row>
    <row r="8" spans="1:6">
      <c r="A8" s="2" t="s">
        <v>83</v>
      </c>
      <c r="B8" s="2" t="s">
        <v>86</v>
      </c>
      <c r="C8" s="2" t="s">
        <v>93</v>
      </c>
      <c r="D8" s="2" t="s">
        <v>27</v>
      </c>
      <c r="E8" s="2" t="s">
        <v>88</v>
      </c>
      <c r="F8" s="2" t="s">
        <v>375</v>
      </c>
    </row>
    <row r="9" spans="1:6">
      <c r="A9" s="2" t="s">
        <v>94</v>
      </c>
      <c r="B9" s="2" t="s">
        <v>97</v>
      </c>
      <c r="C9" s="2" t="s">
        <v>104</v>
      </c>
      <c r="D9" s="2" t="s">
        <v>27</v>
      </c>
      <c r="E9" s="2" t="s">
        <v>99</v>
      </c>
      <c r="F9" s="2" t="s">
        <v>375</v>
      </c>
    </row>
    <row r="10" spans="1:6">
      <c r="A10" s="2" t="s">
        <v>105</v>
      </c>
      <c r="B10" s="2" t="s">
        <v>107</v>
      </c>
      <c r="C10" s="2" t="s">
        <v>114</v>
      </c>
      <c r="D10" s="2" t="s">
        <v>27</v>
      </c>
      <c r="E10" s="2" t="s">
        <v>109</v>
      </c>
      <c r="F10" s="2" t="s">
        <v>375</v>
      </c>
    </row>
    <row r="11" spans="1:6">
      <c r="A11" s="2" t="s">
        <v>115</v>
      </c>
      <c r="B11" s="2" t="s">
        <v>116</v>
      </c>
      <c r="C11" s="2" t="s">
        <v>123</v>
      </c>
      <c r="D11" s="2" t="s">
        <v>27</v>
      </c>
      <c r="E11" s="2" t="s">
        <v>118</v>
      </c>
      <c r="F11" s="2" t="s">
        <v>375</v>
      </c>
    </row>
    <row r="12" spans="1:6">
      <c r="A12" s="2" t="s">
        <v>124</v>
      </c>
      <c r="B12" s="2" t="s">
        <v>126</v>
      </c>
      <c r="C12" s="2" t="s">
        <v>133</v>
      </c>
      <c r="D12" s="2" t="s">
        <v>27</v>
      </c>
      <c r="E12" s="2" t="s">
        <v>128</v>
      </c>
      <c r="F12" s="2" t="s">
        <v>375</v>
      </c>
    </row>
    <row r="13" spans="1:6">
      <c r="A13" s="2" t="s">
        <v>134</v>
      </c>
      <c r="B13" s="2" t="s">
        <v>136</v>
      </c>
      <c r="C13" s="2" t="s">
        <v>142</v>
      </c>
      <c r="D13" s="2" t="s">
        <v>27</v>
      </c>
      <c r="E13" s="2" t="s">
        <v>137</v>
      </c>
      <c r="F13" s="2" t="s">
        <v>375</v>
      </c>
    </row>
    <row r="14" spans="1:6">
      <c r="A14" s="2" t="s">
        <v>143</v>
      </c>
      <c r="B14" s="2" t="s">
        <v>145</v>
      </c>
      <c r="C14" s="2" t="s">
        <v>151</v>
      </c>
      <c r="D14" s="2" t="s">
        <v>27</v>
      </c>
      <c r="E14" s="2" t="s">
        <v>146</v>
      </c>
      <c r="F14" s="2" t="s">
        <v>375</v>
      </c>
    </row>
    <row r="15" spans="1:6">
      <c r="A15" s="2" t="s">
        <v>152</v>
      </c>
      <c r="B15" s="2" t="s">
        <v>155</v>
      </c>
      <c r="C15" s="2" t="s">
        <v>161</v>
      </c>
      <c r="D15" s="2" t="s">
        <v>27</v>
      </c>
      <c r="E15" s="2" t="s">
        <v>156</v>
      </c>
      <c r="F15" s="2" t="s">
        <v>375</v>
      </c>
    </row>
    <row r="16" spans="1:6">
      <c r="A16" s="2" t="s">
        <v>162</v>
      </c>
      <c r="B16" s="2" t="s">
        <v>164</v>
      </c>
      <c r="C16" s="2" t="s">
        <v>170</v>
      </c>
      <c r="D16" s="2" t="s">
        <v>27</v>
      </c>
      <c r="E16" s="2" t="s">
        <v>165</v>
      </c>
      <c r="F16" s="2" t="s">
        <v>375</v>
      </c>
    </row>
    <row r="17" spans="1:6">
      <c r="A17" s="2" t="s">
        <v>171</v>
      </c>
      <c r="B17" s="2" t="s">
        <v>174</v>
      </c>
      <c r="C17" s="2" t="s">
        <v>179</v>
      </c>
      <c r="D17" s="2" t="s">
        <v>27</v>
      </c>
      <c r="E17" s="2" t="s">
        <v>175</v>
      </c>
      <c r="F17" s="2" t="s">
        <v>375</v>
      </c>
    </row>
    <row r="18" spans="1:6">
      <c r="A18" s="2" t="s">
        <v>180</v>
      </c>
      <c r="B18" s="2" t="s">
        <v>182</v>
      </c>
      <c r="C18" s="2" t="s">
        <v>188</v>
      </c>
      <c r="D18" s="2" t="s">
        <v>27</v>
      </c>
      <c r="E18" s="2" t="s">
        <v>183</v>
      </c>
      <c r="F18" s="2" t="s">
        <v>375</v>
      </c>
    </row>
    <row r="19" spans="1:6">
      <c r="A19" s="2" t="s">
        <v>189</v>
      </c>
      <c r="B19" s="2" t="s">
        <v>191</v>
      </c>
      <c r="C19" s="2" t="s">
        <v>197</v>
      </c>
      <c r="D19" s="2" t="s">
        <v>27</v>
      </c>
      <c r="E19" s="2" t="s">
        <v>192</v>
      </c>
      <c r="F19" s="2" t="s">
        <v>375</v>
      </c>
    </row>
    <row r="20" spans="1:6">
      <c r="A20" s="2" t="s">
        <v>198</v>
      </c>
      <c r="B20" s="2" t="s">
        <v>200</v>
      </c>
      <c r="C20" s="2" t="s">
        <v>206</v>
      </c>
      <c r="D20" s="2" t="s">
        <v>27</v>
      </c>
      <c r="E20" s="2" t="s">
        <v>201</v>
      </c>
      <c r="F20" s="2" t="s">
        <v>375</v>
      </c>
    </row>
    <row r="21" spans="1:6">
      <c r="A21" s="2" t="s">
        <v>207</v>
      </c>
      <c r="B21" s="2" t="s">
        <v>209</v>
      </c>
      <c r="C21" s="2" t="s">
        <v>215</v>
      </c>
      <c r="D21" s="2" t="s">
        <v>27</v>
      </c>
      <c r="E21" s="2" t="s">
        <v>210</v>
      </c>
      <c r="F21" s="2" t="s">
        <v>375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  <hyperlink ref="C12" r:id="rId11"/>
    <hyperlink ref="C13" r:id="rId12"/>
    <hyperlink ref="C14" r:id="rId13"/>
    <hyperlink ref="C15" r:id="rId14"/>
    <hyperlink ref="C16" r:id="rId15"/>
    <hyperlink ref="C17" r:id="rId16"/>
    <hyperlink ref="C18" r:id="rId17"/>
    <hyperlink ref="C19" r:id="rId18"/>
    <hyperlink ref="C20" r:id="rId19"/>
    <hyperlink ref="C21" r:id="rId2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22.7109375" customWidth="1"/>
    <col min="2" max="2" width="14.7109375" customWidth="1"/>
    <col min="3" max="3" width="4.7109375" customWidth="1"/>
    <col min="4" max="4" width="24.7109375" customWidth="1"/>
    <col min="5" max="5" width="16.7109375" customWidth="1"/>
    <col min="6" max="6" width="48.7109375" customWidth="1"/>
  </cols>
  <sheetData>
    <row r="1" spans="1:6" ht="28" customHeight="1">
      <c r="A1" s="5" t="s">
        <v>376</v>
      </c>
      <c r="B1" s="5"/>
      <c r="C1" s="5"/>
      <c r="D1" s="5"/>
      <c r="E1" s="5"/>
      <c r="F1" s="5"/>
    </row>
    <row r="3" spans="1:6">
      <c r="A3" s="1" t="s">
        <v>377</v>
      </c>
      <c r="B3" s="1" t="s">
        <v>378</v>
      </c>
      <c r="C3" s="2"/>
      <c r="D3" s="1" t="s">
        <v>379</v>
      </c>
      <c r="E3" s="1" t="s">
        <v>378</v>
      </c>
      <c r="F3" s="1" t="s">
        <v>380</v>
      </c>
    </row>
    <row r="4" spans="1:6">
      <c r="A4" s="2" t="s">
        <v>28</v>
      </c>
      <c r="B4" s="2">
        <f>COUNTIF(Pipeline!J:J,"Contact Ready")</f>
        <v>0</v>
      </c>
      <c r="D4" s="2" t="s">
        <v>384</v>
      </c>
      <c r="E4" s="3">
        <f>SUM(Pipeline!R:R)</f>
        <v>0</v>
      </c>
      <c r="F4" s="2" t="s">
        <v>385</v>
      </c>
    </row>
    <row r="5" spans="1:6">
      <c r="A5" s="2" t="s">
        <v>280</v>
      </c>
      <c r="B5" s="2">
        <f>COUNTIF(Pipeline!J:J,"Contacted")</f>
        <v>0</v>
      </c>
      <c r="D5" s="2" t="s">
        <v>386</v>
      </c>
      <c r="E5" s="3">
        <f>SUM(Pipeline!K:K)</f>
        <v>0</v>
      </c>
      <c r="F5" s="2" t="s">
        <v>387</v>
      </c>
    </row>
    <row r="6" spans="1:6">
      <c r="A6" s="2" t="s">
        <v>381</v>
      </c>
      <c r="B6" s="2">
        <f>COUNTIF(Pipeline!J:J,"Replied")</f>
        <v>0</v>
      </c>
      <c r="D6" s="2" t="s">
        <v>388</v>
      </c>
      <c r="E6" s="3">
        <f>SUM(Pipeline!L:L)</f>
        <v>0</v>
      </c>
      <c r="F6" s="2" t="s">
        <v>389</v>
      </c>
    </row>
    <row r="7" spans="1:6">
      <c r="A7" s="2" t="s">
        <v>382</v>
      </c>
      <c r="B7" s="2">
        <f>COUNTIF(Pipeline!J:J,"Negotiating")</f>
        <v>0</v>
      </c>
      <c r="D7" s="2" t="s">
        <v>390</v>
      </c>
      <c r="E7" s="6">
        <f>IFERROR(COUNTIF(Pipeline!J:J,"Replied")/COUNTIF(Pipeline!D:D,"&lt;&gt;"),0)</f>
        <v>0</v>
      </c>
      <c r="F7" s="2" t="s">
        <v>391</v>
      </c>
    </row>
    <row r="8" spans="1:6">
      <c r="A8" s="2" t="s">
        <v>383</v>
      </c>
      <c r="B8" s="2">
        <f>COUNTIF(Pipeline!J:J,"Won/Paid")</f>
        <v>0</v>
      </c>
      <c r="D8" s="2" t="s">
        <v>392</v>
      </c>
      <c r="E8" s="6">
        <f>IFERROR(COUNTIF(Pipeline!J:J,"Won/Paid")/COUNTIF(Pipeline!D:D,"&lt;&gt;"),0)</f>
        <v>0</v>
      </c>
      <c r="F8" s="2" t="s">
        <v>393</v>
      </c>
    </row>
    <row r="9" spans="1:6">
      <c r="A9" s="2" t="s">
        <v>267</v>
      </c>
      <c r="B9" s="2">
        <f>COUNTIF(Pipeline!J:J,"Fulfilled")</f>
        <v>0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8.7109375" customWidth="1"/>
    <col min="2" max="2" width="100.7109375" customWidth="1"/>
  </cols>
  <sheetData>
    <row r="1" spans="1:2">
      <c r="A1" s="1" t="s">
        <v>394</v>
      </c>
      <c r="B1" s="1" t="s">
        <v>395</v>
      </c>
    </row>
    <row r="2" spans="1:2">
      <c r="A2" s="2" t="s">
        <v>396</v>
      </c>
      <c r="B2" s="2" t="s">
        <v>397</v>
      </c>
    </row>
    <row r="3" spans="1:2">
      <c r="A3" s="2" t="s">
        <v>398</v>
      </c>
      <c r="B3" s="2" t="s">
        <v>399</v>
      </c>
    </row>
    <row r="4" spans="1:2">
      <c r="A4" s="2" t="s">
        <v>400</v>
      </c>
      <c r="B4" s="2" t="s">
        <v>401</v>
      </c>
    </row>
    <row r="5" spans="1:2">
      <c r="A5" s="2" t="s">
        <v>402</v>
      </c>
      <c r="B5" s="2" t="s">
        <v>403</v>
      </c>
    </row>
    <row r="6" spans="1:2">
      <c r="A6" s="2" t="s">
        <v>404</v>
      </c>
      <c r="B6" s="2" t="s">
        <v>405</v>
      </c>
    </row>
    <row r="7" spans="1:2">
      <c r="A7" s="2" t="s">
        <v>406</v>
      </c>
      <c r="B7" s="2" t="s">
        <v>407</v>
      </c>
    </row>
    <row r="8" spans="1:2">
      <c r="A8" s="2" t="s">
        <v>408</v>
      </c>
      <c r="B8" s="2" t="s">
        <v>409</v>
      </c>
    </row>
    <row r="9" spans="1:2">
      <c r="A9" s="2" t="s">
        <v>410</v>
      </c>
      <c r="B9" s="2" t="s">
        <v>411</v>
      </c>
    </row>
    <row r="10" spans="1:2">
      <c r="A10" s="2" t="s">
        <v>275</v>
      </c>
      <c r="B10" s="2" t="s">
        <v>412</v>
      </c>
    </row>
    <row r="11" spans="1:2">
      <c r="A11" s="2" t="s">
        <v>413</v>
      </c>
      <c r="B11" s="2" t="s">
        <v>414</v>
      </c>
    </row>
    <row r="12" spans="1:2">
      <c r="A12" s="2" t="s">
        <v>415</v>
      </c>
      <c r="B12" s="2" t="s">
        <v>416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20.7109375" customWidth="1"/>
    <col min="5" max="5" width="90.7109375" customWidth="1"/>
  </cols>
  <sheetData>
    <row r="1" spans="1:5">
      <c r="A1" s="1" t="s">
        <v>417</v>
      </c>
      <c r="B1" s="1" t="s">
        <v>418</v>
      </c>
      <c r="C1" s="1" t="s">
        <v>419</v>
      </c>
      <c r="D1" s="1" t="s">
        <v>420</v>
      </c>
      <c r="E1" s="1" t="s">
        <v>421</v>
      </c>
    </row>
    <row r="2" spans="1:5">
      <c r="A2" s="2" t="s">
        <v>27</v>
      </c>
      <c r="B2" s="2">
        <v>20</v>
      </c>
      <c r="C2" s="2">
        <v>16</v>
      </c>
      <c r="D2" s="2">
        <v>21</v>
      </c>
      <c r="E2" s="2" t="s">
        <v>422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New Lead Queue</vt:lpstr>
      <vt:lpstr>Scripts</vt:lpstr>
      <vt:lpstr>Pipeline</vt:lpstr>
      <vt:lpstr>Actual Outreach History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2026-09-13T00:09:13Z</dcterms:created>
  <dcterms:modified xsi:type="dcterms:W3CDTF">2026-09-13T00:09:13Z</dcterms:modified>
</cp:coreProperties>
</file>