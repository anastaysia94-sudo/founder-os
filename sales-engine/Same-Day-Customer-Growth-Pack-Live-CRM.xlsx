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New Lead Queue" sheetId="1" r:id="rId1"/>
    <sheet name="Scripts" sheetId="2" r:id="rId2"/>
    <sheet name="Pipeline" sheetId="3" r:id="rId3"/>
    <sheet name="Actual Outreach History" sheetId="4" r:id="rId4"/>
    <sheet name="Archived Leads" sheetId="5" r:id="rId5"/>
    <sheet name="Sources" sheetId="6" r:id="rId6"/>
    <sheet name="Dashboard" sheetId="7" r:id="rId7"/>
    <sheet name="Update Rules" sheetId="8" r:id="rId8"/>
    <sheet name="Refresh Log" sheetId="9" r:id="rId9"/>
  </sheets>
  <definedNames>
    <definedName name="_xlnm._FilterDatabase" localSheetId="0" hidden="1">'New Lead Queue'!$A$1:$O$11</definedName>
    <definedName name="_xlnm._FilterDatabase" localSheetId="2" hidden="1">Pipeline!$A$1:$R$35</definedName>
  </definedNames>
  <calcPr calcId="124519" fullCalcOnLoad="1"/>
</workbook>
</file>

<file path=xl/sharedStrings.xml><?xml version="1.0" encoding="utf-8"?>
<sst xmlns="http://schemas.openxmlformats.org/spreadsheetml/2006/main" count="777" uniqueCount="342">
  <si>
    <t>Rank</t>
  </si>
  <si>
    <t>Business</t>
  </si>
  <si>
    <t>Category</t>
  </si>
  <si>
    <t>City</t>
  </si>
  <si>
    <t>Tier</t>
  </si>
  <si>
    <t>Verified Opportunity</t>
  </si>
  <si>
    <t>Phone</t>
  </si>
  <si>
    <t>Email</t>
  </si>
  <si>
    <t>Reachability</t>
  </si>
  <si>
    <t>Angle</t>
  </si>
  <si>
    <t>Subject</t>
  </si>
  <si>
    <t>Individualized Initial Pitch</t>
  </si>
  <si>
    <t>Source URL</t>
  </si>
  <si>
    <t>Verified</t>
  </si>
  <si>
    <t>Status</t>
  </si>
  <si>
    <t>OK Mechanical Services</t>
  </si>
  <si>
    <t>HVAC / Heating / Air Conditioning / Heat Pumps</t>
  </si>
  <si>
    <t>San Jose / Bay Area, CA</t>
  </si>
  <si>
    <t>A</t>
  </si>
  <si>
    <t>Official site was crawled last month and advertises free estimates, same-week installation, emergency HVAC service, financing for new systems and an average response time under one hour.</t>
  </si>
  <si>
    <t>ok.hvac.ca@gmail.com</t>
  </si>
  <si>
    <t>Direct email; free estimate; stated under-one-hour average response; emergency service</t>
  </si>
  <si>
    <t>Turn the fast-response and financing positioning into a repair-versus-replacement readiness campaign that helps homeowners organize system age, symptoms, comfort problems and financing questions before requesting an estimate.</t>
  </si>
  <si>
    <t>Under-one-hour HVAC response campaign for OK Mechanical</t>
  </si>
  <si>
    <t>Hi — I reviewed OK Mechanical Services’ current San Jose site and noticed you already emphasize free estimates, same-week installation, financing and an average response time under one hour. I’d turn that into a repair-versus-replacement readiness campaign that helps homeowners organize system age, symptoms, comfort problems and financing questions before requesting an estimate. Same-Day Customer Growth Pack: $150 flat. Want two OK Mechanical-specific examples first?</t>
  </si>
  <si>
    <t>https://www.ok-ms.com/</t>
  </si>
  <si>
    <t>2026-09-21</t>
  </si>
  <si>
    <t>Contact Ready</t>
  </si>
  <si>
    <t>AAA Construction Management</t>
  </si>
  <si>
    <t>General Contracting / Home Remodeling</t>
  </si>
  <si>
    <t>Official contact page offers a free consultation and estimate, publishes a direct sales email, states a response within 24 hours and lists Saturday hours.</t>
  </si>
  <si>
    <t>sales@aaa-cm.com</t>
  </si>
  <si>
    <t>Direct sales email; free estimate; stated 24-hour response; Saturday hours</t>
  </si>
  <si>
    <t>Turn the 24-hour estimate path into a project-readiness campaign that helps remodeling prospects organize scope, priorities, budget and site questions before the consultation.</t>
  </si>
  <si>
    <t>24-hour remodel estimate campaign for AAA Construction Management</t>
  </si>
  <si>
    <t>Hi — I reviewed AAA Construction Management’s current contact flow and noticed you already offer free consultations and estimates with a stated response within 24 hours. I’d turn that into a project-readiness campaign that helps homeowners organize scope, priorities, budget and site questions before the consultation. Same-Day Customer Growth Pack: $150 flat. Want two AAA-specific examples first?</t>
  </si>
  <si>
    <t>https://www.aaa-cm.com/contact</t>
  </si>
  <si>
    <t>Atra Construction</t>
  </si>
  <si>
    <t>ADU / General Construction</t>
  </si>
  <si>
    <t>Official contact page specializes in Bay Area ADUs, offers consultations and free estimates, publishes a direct email and states the team will respond within 24 hours.</t>
  </si>
  <si>
    <t>info@atraconstruction.com</t>
  </si>
  <si>
    <t>Direct email; free estimate; stated 24-hour response</t>
  </si>
  <si>
    <t>Turn the ADU specialization into a pre-consultation campaign that helps homeowners identify ADU purpose, site constraints, project location and planning questions before requesting an estimate.</t>
  </si>
  <si>
    <t>24-hour ADU consultation campaign for Atra Construction</t>
  </si>
  <si>
    <t>Hi — I reviewed Atra Construction’s current Bay Area ADU contact flow and noticed you already offer free estimates and state that your team gets back to prospects within 24 hours. I’d turn that into an ADU pre-consultation campaign that helps homeowners organize intended use, site constraints, location and planning questions before requesting an estimate. Same-Day Customer Growth Pack: $150 flat. Want two Atra-specific examples first?</t>
  </si>
  <si>
    <t>https://www.atraconstruction.com/contact</t>
  </si>
  <si>
    <t>Valle Construction</t>
  </si>
  <si>
    <t>Remodeling / ADUs / Home Repairs</t>
  </si>
  <si>
    <t>Official San Jose page was crawled last week and publishes a direct email, free-estimate CTA, one-business-day response positioning and services spanning bathrooms, kitchens, ADUs and home repairs.</t>
  </si>
  <si>
    <t>info@valle.construction</t>
  </si>
  <si>
    <t>Direct email; free estimate; stated one-business-day response</t>
  </si>
  <si>
    <t>Turn the broad remodel-and-ADU range into a project-type selector that helps homeowners identify scope, likely permit complexity and preparation needs before the estimate.</t>
  </si>
  <si>
    <t>One-day project-readiness campaign for Valle Construction</t>
  </si>
  <si>
    <t>Hi — I reviewed Valle Construction’s current San Jose page and noticed you cover bathrooms, kitchens, ADUs and home repairs while offering free estimates and a one-business-day response. I’d turn that into a project-type readiness campaign that helps homeowners identify scope, likely permit questions and preparation needs before the estimate. Same-Day Customer Growth Pack: $150 flat. Want two Valle-specific examples first?</t>
  </si>
  <si>
    <t>https://valle.construction/services/san-jose</t>
  </si>
  <si>
    <t>Gladiator Repipe &amp; Plumbing</t>
  </si>
  <si>
    <t>Plumbing / Repiping / Emergency Plumbing</t>
  </si>
  <si>
    <t>Official service-area page was crawled last week and publishes a direct email, free-estimate intake, 24/7 emergency availability and plumbing/repiping coverage across 20+ Bay Area cities.</t>
  </si>
  <si>
    <t>gladiatorrepipe@gmail.com</t>
  </si>
  <si>
    <t>Direct email; free estimate; 24/7 emergency availability</t>
  </si>
  <si>
    <t>Turn the repipe-plus-emergency positioning into a symptom-to-project campaign that helps homeowners distinguish urgent leaks from whole-home repipe planning and prepare useful property details before requesting an estimate.</t>
  </si>
  <si>
    <t>Plumbing symptom-to-project campaign for Gladiator Repipe</t>
  </si>
  <si>
    <t>Hi — I reviewed Gladiator Repipe &amp; Plumbing’s current Bay Area service page and noticed you combine free estimates, 24/7 emergency availability and whole-home repiping. I’d turn that into a symptom-to-project campaign that helps homeowners distinguish urgent leak issues from repipe planning and prepare useful property details before requesting an estimate. Same-Day Customer Growth Pack: $150 flat. Want two Gladiator-specific examples first?</t>
  </si>
  <si>
    <t>https://gladiatorrepipe.com/service-areas/</t>
  </si>
  <si>
    <t>Jade Landscape Management</t>
  </si>
  <si>
    <t>Landscaping / Property Care</t>
  </si>
  <si>
    <t>San Jose, CA</t>
  </si>
  <si>
    <t>Official site was crawled last month and publishes a direct email, free-estimate intake, Monday-Saturday hours and a promise to respond to every inquiry within 24 hours.</t>
  </si>
  <si>
    <t>Contact@JadeLM.com</t>
  </si>
  <si>
    <t>Direct email; free estimate; stated 24-hour response; Saturday hours</t>
  </si>
  <si>
    <t>Turn the fast estimate response into a property-priority campaign that helps residential and commercial prospects organize desired work, maintenance priorities and site details before the estimate.</t>
  </si>
  <si>
    <t>24-hour landscape estimate campaign for Jade</t>
  </si>
  <si>
    <t>Hi — I reviewed Jade Landscape Management’s current San Jose estimate flow and noticed you already promise to respond to every inquiry within 24 hours while serving both residential and commercial properties. I’d turn that into a property-priority campaign that helps prospects organize desired work, maintenance priorities and site details before the estimate. Same-Day Customer Growth Pack: $150 flat. Want two Jade-specific examples first?</t>
  </si>
  <si>
    <t>https://www.jadelm.com/</t>
  </si>
  <si>
    <t>The JS Fencing</t>
  </si>
  <si>
    <t>Fencing / Gates</t>
  </si>
  <si>
    <t>San Jose / South Bay, CA</t>
  </si>
  <si>
    <t>Official contact page was crawled three weeks ago and publishes a direct email, free no-obligation estimate, seven-day hours and an intake specifically asking for rough fence length, desired height and city.</t>
  </si>
  <si>
    <t>thejsfencing@gmail.com</t>
  </si>
  <si>
    <t>Direct email; free estimate; open seven days</t>
  </si>
  <si>
    <t>Turn the existing rough-length and height intake into a fence-planning campaign that helps homeowners prepare boundary, material, gate and neighbor-sharing questions before measurement.</t>
  </si>
  <si>
    <t>Fence-planning estimate campaign for The JS Fencing</t>
  </si>
  <si>
    <t>Hi — I reviewed The JS Fencing’s current estimate flow and noticed you already tell homeowners that rough fence length, desired height and city are enough to get started. I’d turn that into a fence-planning campaign that helps prospects prepare boundary, material, gate and neighbor-sharing questions before measurement. Same-Day Customer Growth Pack: $150 flat. Want two JS Fencing-specific examples first?</t>
  </si>
  <si>
    <t>https://www.thejsfencing.com/contact</t>
  </si>
  <si>
    <t>San Jose Concrete</t>
  </si>
  <si>
    <t>Concrete / Driveways / Patios / Foundations</t>
  </si>
  <si>
    <t>Official contact page was crawled last month and publishes a direct email, free estimates, a 24-hour response target and seven-day 7am-7pm availability across high-value concrete services.</t>
  </si>
  <si>
    <t>info@san-jose-concrete.com</t>
  </si>
  <si>
    <t>Direct email; free estimate; stated 24-hour response; seven-day availability</t>
  </si>
  <si>
    <t>Turn the broad concrete service menu into a project-scope selector that helps prospects identify driveway, patio, foundation, repair or decorative needs before the site visit.</t>
  </si>
  <si>
    <t>24-hour concrete project-selector campaign</t>
  </si>
  <si>
    <t>Hi — I reviewed San Jose Concrete’s current contact flow and noticed you already offer free estimates, a 24-hour response target and seven-day availability across driveways, patios, foundations and other concrete work. I’d turn that into a project-scope selector that helps prospects identify the right service and prepare useful site details before the estimate. Same-Day Customer Growth Pack: $150 flat. Want two company-specific examples first?</t>
  </si>
  <si>
    <t>https://san-jose-concrete.com/contact/</t>
  </si>
  <si>
    <t>Avis Builders and Design</t>
  </si>
  <si>
    <t>Decks / Outdoor Construction / General Building</t>
  </si>
  <si>
    <t>Official site was crawled four days ago and publishes a direct email, San Jose location, contractor license and free in-home consultation/free-estimate CTA.</t>
  </si>
  <si>
    <t>info@avisbuildersanddesign.com</t>
  </si>
  <si>
    <t>Direct email; free in-home consultation; free estimate</t>
  </si>
  <si>
    <t>Turn the free in-home consultation into an outdoor-project preparation campaign that helps homeowners organize deck size, use, materials, site conditions and design priorities before the visit.</t>
  </si>
  <si>
    <t>Deck consultation prep campaign for Avis Builders</t>
  </si>
  <si>
    <t>Hi — I reviewed Avis Builders and Design’s current San Jose site and noticed you already offer a free in-home consultation for deck and outdoor projects. I’d turn that into a consultation-prep campaign that helps homeowners organize desired size, use, materials, site conditions and design priorities before the visit. Same-Day Customer Growth Pack: $150 flat. Want two Avis-specific examples first?</t>
  </si>
  <si>
    <t>https://avisbuildersanddesign.com/</t>
  </si>
  <si>
    <t>Tomlinson Construction</t>
  </si>
  <si>
    <t>Kitchen / Bathroom / Interior / Exterior Remodeling</t>
  </si>
  <si>
    <t>Official contact page publishes a direct email, free-estimate intake and a detailed service selector covering kitchens, bathrooms, interior/exterior remodeling, accessibility, room additions, cabinetry and flooring.</t>
  </si>
  <si>
    <t>info@tomlinsonconstruction.com</t>
  </si>
  <si>
    <t>Direct email; free estimate; detailed project-type intake</t>
  </si>
  <si>
    <t>Turn the detailed remodeling service selector into a project-planning campaign that helps prospects organize rooms, accessibility needs, additions, finishes and priorities before requesting an estimate.</t>
  </si>
  <si>
    <t>Remodel project-planning campaign for Tomlinson Construction</t>
  </si>
  <si>
    <t>Hi — I reviewed Tomlinson Construction’s current San Jose estimate flow and noticed you already let homeowners identify kitchen, bathroom, interior, exterior, accessibility, addition and finish-related needs up front. I’d turn that into a project-planning campaign that helps prospects organize rooms, priorities and finish decisions before requesting an estimate. Same-Day Customer Growth Pack: $150 flat. Want two Tomlinson-specific examples first?</t>
  </si>
  <si>
    <t>https://www.tomlinsonconstruction.com/contact.html</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</si>
  <si>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</si>
  <si>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</si>
  <si>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</si>
  <si>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</si>
  <si>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</si>
  <si>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</si>
  <si>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</si>
  <si>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</si>
  <si>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</si>
  <si>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</si>
  <si>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</si>
  <si>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</si>
  <si>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</si>
  <si>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</si>
  <si>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</si>
  <si>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</si>
  <si>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</si>
  <si>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</si>
  <si>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</si>
  <si>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</si>
  <si>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</si>
  <si>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</si>
  <si>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</si>
  <si>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</si>
  <si>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</si>
  <si>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</si>
  <si>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</si>
  <si>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</si>
  <si>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</si>
  <si>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</si>
  <si>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</si>
  <si>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</si>
  <si>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</si>
  <si>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</si>
  <si>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</si>
  <si>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</si>
  <si>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</si>
  <si>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</si>
  <si>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</si>
  <si>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</si>
  <si>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</si>
  <si>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</si>
  <si>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</si>
  <si>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</si>
  <si>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</si>
  <si>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</si>
  <si>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</si>
  <si>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</si>
  <si>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</si>
  <si>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</si>
  <si>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</si>
  <si>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</si>
  <si>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</si>
  <si>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</si>
  <si>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</si>
  <si>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</si>
  <si>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Offer Value $</t>
  </si>
  <si>
    <t>FloodDry Water Damage Restoration</t>
  </si>
  <si>
    <t>Follow-up</t>
  </si>
  <si>
    <t>email</t>
  </si>
  <si>
    <t>2026-09-05T22:50:24-07:00</t>
  </si>
  <si>
    <t>2026-09-08</t>
  </si>
  <si>
    <t>2026-09-08T16:45:47-07:00</t>
  </si>
  <si>
    <t>Contacted</t>
  </si>
  <si>
    <t>Two verified outbound emails, no inbound reply found through 2026-09-12. Do not send another cold touch now.</t>
  </si>
  <si>
    <t>Therma Tech</t>
  </si>
  <si>
    <t>2026-09-05T20:01:38-07:00</t>
  </si>
  <si>
    <t>2026-09-07</t>
  </si>
  <si>
    <t>2026-09-07T13:35:02-07:00</t>
  </si>
  <si>
    <t>2026-09-07T14:19:35-07:00</t>
  </si>
  <si>
    <t>Three verified outbound emails across two connected Gmail accounts; no inbound reply found through 2026-09-12. Stop cold follow-up unless they reply.</t>
  </si>
  <si>
    <t>Dansel Restoration</t>
  </si>
  <si>
    <t>2026-09-05T22:49:58-07:00</t>
  </si>
  <si>
    <t>2026-09-09</t>
  </si>
  <si>
    <t>One verified outbound email; no inbound reply found through 2026-09-12. One final respectful follow-up is permissible, then stop unless they reply.</t>
  </si>
  <si>
    <t>California First Roofing</t>
  </si>
  <si>
    <t>2026-09-05T22:39:21-07:00</t>
  </si>
  <si>
    <t>US Creative Restoration</t>
  </si>
  <si>
    <t>2026-09-05T22:53:01-07:00</t>
  </si>
  <si>
    <t>One verified outbound email; no reply found through 2026-09-12. Eligible for at most one respectful follow-up.</t>
  </si>
  <si>
    <t>WJM Builders</t>
  </si>
  <si>
    <t>2026-09-06T03:30:53-07:00</t>
  </si>
  <si>
    <t>2026-09-10</t>
  </si>
  <si>
    <t>Clean Roofing</t>
  </si>
  <si>
    <t>2026-09-06T03:42:04-07:00</t>
  </si>
  <si>
    <t>Solar Energy Consultants</t>
  </si>
  <si>
    <t>2026-09-06T03:25:44-07:00</t>
  </si>
  <si>
    <t>Mayer's Construction</t>
  </si>
  <si>
    <t>2026-09-06T03:31:58-07:00</t>
  </si>
  <si>
    <t>EVS Mechanical</t>
  </si>
  <si>
    <t>2026-09-06T03:32:27-07:00</t>
  </si>
  <si>
    <t>Dueling Trowels Concrete Solutions</t>
  </si>
  <si>
    <t>2026-09-05T22:39:44-07:00</t>
  </si>
  <si>
    <t>2026-09-06T03:20:39-07:00</t>
  </si>
  <si>
    <t>Two verified outbound emails; no reply found through 2026-09-12. Do not send another cold touch now.</t>
  </si>
  <si>
    <t>GBD Concrete</t>
  </si>
  <si>
    <t>2026-09-05T22:54:30-07:00</t>
  </si>
  <si>
    <t>John Molina Concrete</t>
  </si>
  <si>
    <t>2026-09-05T22:46:13-07:00</t>
  </si>
  <si>
    <t>Precision Concrete Inc</t>
  </si>
  <si>
    <t>2026-09-05T22:40:53-07:00</t>
  </si>
  <si>
    <t>One Day Complete Repipe</t>
  </si>
  <si>
    <t>2026-09-05T22:35:59-07:00</t>
  </si>
  <si>
    <t>HB Design &amp; Construction</t>
  </si>
  <si>
    <t>2026-09-18T16:24:00-07:00</t>
  </si>
  <si>
    <t>Wait for reply. If no reply, eligible for respectful S02 follow-up on/after 2026-09-21; stop sooner on decline or opt-out.</t>
  </si>
  <si>
    <t>QualiBuild LLC</t>
  </si>
  <si>
    <t>Redwood Roofing</t>
  </si>
  <si>
    <t>Premier Roofing &amp; Retro-Fit</t>
  </si>
  <si>
    <t>Make It Simple Construction, Inc.</t>
  </si>
  <si>
    <t>BLUECON</t>
  </si>
  <si>
    <t>Blues Bros</t>
  </si>
  <si>
    <t>Home Quality Remodeling</t>
  </si>
  <si>
    <t>Imperia Roofing &amp; Exteriors</t>
  </si>
  <si>
    <t>First Touch Evidence</t>
  </si>
  <si>
    <t>FU1 Evidence</t>
  </si>
  <si>
    <t>FU2 Evidence</t>
  </si>
  <si>
    <t>Gmail sent message 1a074aa18c4a15e5</t>
  </si>
  <si>
    <t>Gmail sent message 1a07d94dc355abc7</t>
  </si>
  <si>
    <t>Gmail sent message 1a07dbda8027b039</t>
  </si>
  <si>
    <t>Gmail sent message 1a07537695be159d</t>
  </si>
  <si>
    <t>Gmail sent message 1a0753a7d53e5a5c</t>
  </si>
  <si>
    <t>Gmail sent message 1a0753ad793984cf</t>
  </si>
  <si>
    <t>Gmail sent message 1a0763c06f9e9dc5</t>
  </si>
  <si>
    <t>Gmail sent message 1a0753be59b49989</t>
  </si>
  <si>
    <t>Gmail sent message 1a07540c8b9fd4bc</t>
  </si>
  <si>
    <t>Gmail sent message 1a075443349aa830</t>
  </si>
  <si>
    <t>Gmail sent message 1a075449a2403271</t>
  </si>
  <si>
    <t>Gmail sent message 1a08369d9f6b09c0</t>
  </si>
  <si>
    <t>Gmail sent message 1a0754701539a56d</t>
  </si>
  <si>
    <t>Gmail sent message 1a075485ca2a3fef</t>
  </si>
  <si>
    <t>Precision Heating &amp; Cooling</t>
  </si>
  <si>
    <t>2026-09-06T01:37:52-07:00</t>
  </si>
  <si>
    <t>Gmail sent message 1a075ddee6716e8a</t>
  </si>
  <si>
    <t>Historical send discovered during Sep 12 audit; no reply found in connected Gmail search.</t>
  </si>
  <si>
    <t>Gmail sent message 1a07640ae5a69379</t>
  </si>
  <si>
    <t>Gmail sent message 1a076456505c6304</t>
  </si>
  <si>
    <t>Gmail sent message 1a0764664a2b1202</t>
  </si>
  <si>
    <t>Gmail sent message 1a07646d6dbd3474</t>
  </si>
  <si>
    <t>Gmail sent message 1a0764fa024df1f4</t>
  </si>
  <si>
    <t>Gmail sent message 1a0b6d78c843ca6b</t>
  </si>
  <si>
    <t>Gmail sent message 1a0b6d7943740cae</t>
  </si>
  <si>
    <t>Gmail sent message 1a0b6d79a6cdefdb</t>
  </si>
  <si>
    <t>Gmail sent message 1a0b6d7a193869fd</t>
  </si>
  <si>
    <t>Gmail sent message 1a0b6d7a978557f8</t>
  </si>
  <si>
    <t>Gmail sent message 1a0b6d7afc5b1de0</t>
  </si>
  <si>
    <t>Gmail sent message 1a0b6d7b4e0a0a3f</t>
  </si>
  <si>
    <t>Gmail sent message 1a0b6d7bd8a5e4c7</t>
  </si>
  <si>
    <t>Gmail sent message 1a0b6d7c520f4297</t>
  </si>
  <si>
    <t>Silicon Valley Chimney Sweep</t>
  </si>
  <si>
    <t>Gmail sent message 1a0b6d7d1bb96f3a</t>
  </si>
  <si>
    <t>Delivery Failed</t>
  </si>
  <si>
    <t>Do not count as successfully contacted. Official site still publishes info@svchimneysweep.com, but Gmail returned a hard bounce. Reverify or use the official website inquiry route; do not resend to the bounced address.</t>
  </si>
  <si>
    <t>Archived</t>
  </si>
  <si>
    <t>Leader Restoration</t>
  </si>
  <si>
    <t>2026-09-12</t>
  </si>
  <si>
    <t>Rotated out of fresh queue 2026-09-12; no outreach found in connected Gmail checks.</t>
  </si>
  <si>
    <t>CostLess Heating &amp; Cooling</t>
  </si>
  <si>
    <t>2026-09-06</t>
  </si>
  <si>
    <t>Los Gatos Roofing</t>
  </si>
  <si>
    <t>Roofs By Reveille, Inc</t>
  </si>
  <si>
    <t>A1 Restoration</t>
  </si>
  <si>
    <t>911 Restoration of San Jose</t>
  </si>
  <si>
    <t>Any Hour Water and Fire</t>
  </si>
  <si>
    <t>IRBIS Air Plumbing Electrical</t>
  </si>
  <si>
    <t>Use official web/phone route; no direct email re-verified 2026-09-09.</t>
  </si>
  <si>
    <t>California Water and Fire</t>
  </si>
  <si>
    <t>Infinium Solar, Roofing and Electric</t>
  </si>
  <si>
    <t>Lifetime Roofing &amp; Renovation, Inc.</t>
  </si>
  <si>
    <t>ROOF EXPRESS</t>
  </si>
  <si>
    <t>South Bay Roofing CO</t>
  </si>
  <si>
    <t>Eastman Roofing &amp; Waterproofing, Inc.</t>
  </si>
  <si>
    <t>The Roofer Bros</t>
  </si>
  <si>
    <t>Roof By Tom</t>
  </si>
  <si>
    <t>FairPrice Heating &amp; Cooling</t>
  </si>
  <si>
    <t>Galaxy Heating &amp; Air Conditioning</t>
  </si>
  <si>
    <t>Air &amp; Plumbing Systems</t>
  </si>
  <si>
    <t>2026-09-11</t>
  </si>
  <si>
    <t>Archived from active Top 10 on 2026-09-11; no outreach recorded.</t>
  </si>
  <si>
    <t>Top Tier Roofing</t>
  </si>
  <si>
    <t>Verified Date</t>
  </si>
  <si>
    <t>Direct Contact</t>
  </si>
  <si>
    <t>Reverify Rule</t>
  </si>
  <si>
    <t>Reverify time-sensitive offers, hours, financing, ETA, response-time claims, and contact details before outreach.</t>
  </si>
  <si>
    <t>SAME-DAY CUSTOMER GROWTH PACK — LIVE PIPELINE</t>
  </si>
  <si>
    <t>Metric</t>
  </si>
  <si>
    <t>Value</t>
  </si>
  <si>
    <t>Commercial Metric</t>
  </si>
  <si>
    <t>Meaning</t>
  </si>
  <si>
    <t>Replied</t>
  </si>
  <si>
    <t>Negotiating</t>
  </si>
  <si>
    <t>Won/Paid</t>
  </si>
  <si>
    <t>Nominal Offer Value</t>
  </si>
  <si>
    <t>Potential at the standard package price; not booked revenue.</t>
  </si>
  <si>
    <t>Actual Quoted $</t>
  </si>
  <si>
    <t>Only real negotiated/quoted dollars.</t>
  </si>
  <si>
    <t>Paid Revenue</t>
  </si>
  <si>
    <t>Only actual payments.</t>
  </si>
  <si>
    <t>Response Rate</t>
  </si>
  <si>
    <t>Replies divided by records with a real first touch.</t>
  </si>
  <si>
    <t>Close Rate</t>
  </si>
  <si>
    <t>Wins divided by records with a real first touch.</t>
  </si>
  <si>
    <t>Rule</t>
  </si>
  <si>
    <t>Requirement</t>
  </si>
  <si>
    <t>Canonical lead feed</t>
  </si>
  <si>
    <t>sales-engine-app/data/leads.json</t>
  </si>
  <si>
    <t>Canonical pipeline history</t>
  </si>
  <si>
    <t>sales-engine/pipeline-history.json</t>
  </si>
  <si>
    <t>Canonical workbook</t>
  </si>
  <si>
    <t>sales-engine/Same-Day-Customer-Growth-Pack-Live-CRM.xlsx</t>
  </si>
  <si>
    <t>Fresh means fresh</t>
  </si>
  <si>
    <t>Before a prospect enters New Lead Queue, verify it and check connected Gmail history for prior contact.</t>
  </si>
  <si>
    <t>Evidence</t>
  </si>
  <si>
    <t>Every current lead requires a current source URL and dated evidence-based opportunity.</t>
  </si>
  <si>
    <t>Contacts</t>
  </si>
  <si>
    <t>Never invent email, phone, person, role, offer, or contact detail.</t>
  </si>
  <si>
    <t>Pipeline truth</t>
  </si>
  <si>
    <t>Never mark contact, reply, quote, payment, customer, revenue, or fulfillment unless it actually occurred.</t>
  </si>
  <si>
    <t>Offer value</t>
  </si>
  <si>
    <t>The standard package price is potential value, not quoted pipeline or revenue.</t>
  </si>
  <si>
    <t>Initial cold contact + max two respectful cold follow-ups; stop sooner on decline/opt-out and avoid duplicate account touches.</t>
  </si>
  <si>
    <t>Claims</t>
  </si>
  <si>
    <t>No guaranteed leads, ROI, rankings, bookings, response rates, or revenue.</t>
  </si>
  <si>
    <t>Workbook generation</t>
  </si>
  <si>
    <t>GitHub Actions regenerates this XLSX from the live feed + truth-preserving pipeline history.</t>
  </si>
  <si>
    <t>Refresh Date</t>
  </si>
  <si>
    <t>Fresh Leads</t>
  </si>
  <si>
    <t>Observed Contact Records</t>
  </si>
  <si>
    <t>Archived Records</t>
  </si>
  <si>
    <t>Notes</t>
  </si>
  <si>
    <t>Generated from the verified lead feed and preserved pipeline history. Unobserved outcomes remain zero/blank.</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</si>
</sst>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xf>
    <xf numFmtId="0" fontId="1" fillId="3" borderId="1" xfId="0" applyFont="1" applyFill="1" applyBorder="1" applyAlignment="1">
      <alignment wrapText="1"/>
    </xf>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ok-ms.com/" TargetMode="External"/><Relationship Id="rId2" Type="http://schemas.openxmlformats.org/officeDocument/2006/relationships/hyperlink" Target="https://www.aaa-cm.com/contact" TargetMode="External"/><Relationship Id="rId3" Type="http://schemas.openxmlformats.org/officeDocument/2006/relationships/hyperlink" Target="https://www.atraconstruction.com/contact" TargetMode="External"/><Relationship Id="rId4" Type="http://schemas.openxmlformats.org/officeDocument/2006/relationships/hyperlink" Target="https://valle.construction/services/san-jose" TargetMode="External"/><Relationship Id="rId5" Type="http://schemas.openxmlformats.org/officeDocument/2006/relationships/hyperlink" Target="https://gladiatorrepipe.com/service-areas/" TargetMode="External"/><Relationship Id="rId6" Type="http://schemas.openxmlformats.org/officeDocument/2006/relationships/hyperlink" Target="https://www.jadelm.com/" TargetMode="External"/><Relationship Id="rId7" Type="http://schemas.openxmlformats.org/officeDocument/2006/relationships/hyperlink" Target="https://www.thejsfencing.com/contact" TargetMode="External"/><Relationship Id="rId8" Type="http://schemas.openxmlformats.org/officeDocument/2006/relationships/hyperlink" Target="https://san-jose-concrete.com/contact/" TargetMode="External"/><Relationship Id="rId9" Type="http://schemas.openxmlformats.org/officeDocument/2006/relationships/hyperlink" Target="https://avisbuildersanddesign.com/" TargetMode="External"/><Relationship Id="rId10" Type="http://schemas.openxmlformats.org/officeDocument/2006/relationships/hyperlink" Target="https://www.tomlinsonconstruction.com/contact.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ok-ms.com/" TargetMode="External"/><Relationship Id="rId2" Type="http://schemas.openxmlformats.org/officeDocument/2006/relationships/hyperlink" Target="https://www.aaa-cm.com/contact" TargetMode="External"/><Relationship Id="rId3" Type="http://schemas.openxmlformats.org/officeDocument/2006/relationships/hyperlink" Target="https://www.atraconstruction.com/contact" TargetMode="External"/><Relationship Id="rId4" Type="http://schemas.openxmlformats.org/officeDocument/2006/relationships/hyperlink" Target="https://valle.construction/services/san-jose" TargetMode="External"/><Relationship Id="rId5" Type="http://schemas.openxmlformats.org/officeDocument/2006/relationships/hyperlink" Target="https://gladiatorrepipe.com/service-areas/" TargetMode="External"/><Relationship Id="rId6" Type="http://schemas.openxmlformats.org/officeDocument/2006/relationships/hyperlink" Target="https://www.jadelm.com/" TargetMode="External"/><Relationship Id="rId7" Type="http://schemas.openxmlformats.org/officeDocument/2006/relationships/hyperlink" Target="https://www.thejsfencing.com/contact" TargetMode="External"/><Relationship Id="rId8" Type="http://schemas.openxmlformats.org/officeDocument/2006/relationships/hyperlink" Target="https://san-jose-concrete.com/contact/" TargetMode="External"/><Relationship Id="rId9" Type="http://schemas.openxmlformats.org/officeDocument/2006/relationships/hyperlink" Target="https://avisbuildersanddesign.com/" TargetMode="External"/><Relationship Id="rId10" Type="http://schemas.openxmlformats.org/officeDocument/2006/relationships/hyperlink" Target="https://www.tomlinsonconstruction.com/contact.html"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ok-ms.com/" TargetMode="External"/><Relationship Id="rId2" Type="http://schemas.openxmlformats.org/officeDocument/2006/relationships/hyperlink" Target="https://www.aaa-cm.com/contact" TargetMode="External"/><Relationship Id="rId3" Type="http://schemas.openxmlformats.org/officeDocument/2006/relationships/hyperlink" Target="https://www.atraconstruction.com/contact" TargetMode="External"/><Relationship Id="rId4" Type="http://schemas.openxmlformats.org/officeDocument/2006/relationships/hyperlink" Target="https://valle.construction/services/san-jose" TargetMode="External"/><Relationship Id="rId5" Type="http://schemas.openxmlformats.org/officeDocument/2006/relationships/hyperlink" Target="https://gladiatorrepipe.com/service-areas/" TargetMode="External"/><Relationship Id="rId6" Type="http://schemas.openxmlformats.org/officeDocument/2006/relationships/hyperlink" Target="https://www.jadelm.com/" TargetMode="External"/><Relationship Id="rId7" Type="http://schemas.openxmlformats.org/officeDocument/2006/relationships/hyperlink" Target="https://www.thejsfencing.com/contact" TargetMode="External"/><Relationship Id="rId8" Type="http://schemas.openxmlformats.org/officeDocument/2006/relationships/hyperlink" Target="https://san-jose-concrete.com/contact/" TargetMode="External"/><Relationship Id="rId9" Type="http://schemas.openxmlformats.org/officeDocument/2006/relationships/hyperlink" Target="https://avisbuildersanddesign.com/" TargetMode="External"/><Relationship Id="rId10" Type="http://schemas.openxmlformats.org/officeDocument/2006/relationships/hyperlink" Target="https://www.tomlinsonconstruction.com/contact.html"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2.7109375" customWidth="1"/>
    <col min="3" max="3" width="26.7109375" customWidth="1"/>
    <col min="4" max="4" width="22.7109375" customWidth="1"/>
    <col min="5" max="5" width="8.7109375" customWidth="1"/>
    <col min="6" max="6" width="54.7109375" customWidth="1"/>
    <col min="7" max="7" width="18.7109375" customWidth="1"/>
    <col min="8" max="8" width="34.7109375" customWidth="1"/>
    <col min="9" max="9" width="30.7109375" customWidth="1"/>
    <col min="10" max="10" width="48.7109375" customWidth="1"/>
    <col min="11" max="11" width="38.7109375" customWidth="1"/>
    <col min="12" max="12" width="72.7109375" customWidth="1"/>
    <col min="13" max="13" width="50.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c r="H2" s="2" t="s">
        <v>20</v>
      </c>
      <c r="I2" s="2" t="s">
        <v>21</v>
      </c>
      <c r="J2" s="2" t="s">
        <v>22</v>
      </c>
      <c r="K2" s="2" t="s">
        <v>23</v>
      </c>
      <c r="L2" s="2" t="s">
        <v>24</v>
      </c>
      <c r="M2" s="2" t="s">
        <v>25</v>
      </c>
      <c r="N2" s="2" t="s">
        <v>26</v>
      </c>
      <c r="O2" s="2" t="s">
        <v>27</v>
      </c>
    </row>
    <row r="3" spans="1:15">
      <c r="A3" s="2">
        <v>2</v>
      </c>
      <c r="B3" s="2" t="s">
        <v>28</v>
      </c>
      <c r="C3" s="2" t="s">
        <v>29</v>
      </c>
      <c r="D3" s="2" t="s">
        <v>17</v>
      </c>
      <c r="E3" s="2" t="s">
        <v>18</v>
      </c>
      <c r="F3" s="2" t="s">
        <v>30</v>
      </c>
      <c r="G3" s="2"/>
      <c r="H3" s="2" t="s">
        <v>31</v>
      </c>
      <c r="I3" s="2" t="s">
        <v>32</v>
      </c>
      <c r="J3" s="2" t="s">
        <v>33</v>
      </c>
      <c r="K3" s="2" t="s">
        <v>34</v>
      </c>
      <c r="L3" s="2" t="s">
        <v>35</v>
      </c>
      <c r="M3" s="2" t="s">
        <v>36</v>
      </c>
      <c r="N3" s="2" t="s">
        <v>26</v>
      </c>
      <c r="O3" s="2" t="s">
        <v>27</v>
      </c>
    </row>
    <row r="4" spans="1:15">
      <c r="A4" s="2">
        <v>3</v>
      </c>
      <c r="B4" s="2" t="s">
        <v>37</v>
      </c>
      <c r="C4" s="2" t="s">
        <v>38</v>
      </c>
      <c r="D4" s="2" t="s">
        <v>17</v>
      </c>
      <c r="E4" s="2" t="s">
        <v>18</v>
      </c>
      <c r="F4" s="2" t="s">
        <v>39</v>
      </c>
      <c r="G4" s="2"/>
      <c r="H4" s="2" t="s">
        <v>40</v>
      </c>
      <c r="I4" s="2" t="s">
        <v>41</v>
      </c>
      <c r="J4" s="2" t="s">
        <v>42</v>
      </c>
      <c r="K4" s="2" t="s">
        <v>43</v>
      </c>
      <c r="L4" s="2" t="s">
        <v>44</v>
      </c>
      <c r="M4" s="2" t="s">
        <v>45</v>
      </c>
      <c r="N4" s="2" t="s">
        <v>26</v>
      </c>
      <c r="O4" s="2" t="s">
        <v>27</v>
      </c>
    </row>
    <row r="5" spans="1:15">
      <c r="A5" s="2">
        <v>4</v>
      </c>
      <c r="B5" s="2" t="s">
        <v>46</v>
      </c>
      <c r="C5" s="2" t="s">
        <v>47</v>
      </c>
      <c r="D5" s="2" t="s">
        <v>17</v>
      </c>
      <c r="E5" s="2" t="s">
        <v>18</v>
      </c>
      <c r="F5" s="2" t="s">
        <v>48</v>
      </c>
      <c r="G5" s="2"/>
      <c r="H5" s="2" t="s">
        <v>49</v>
      </c>
      <c r="I5" s="2" t="s">
        <v>50</v>
      </c>
      <c r="J5" s="2" t="s">
        <v>51</v>
      </c>
      <c r="K5" s="2" t="s">
        <v>52</v>
      </c>
      <c r="L5" s="2" t="s">
        <v>53</v>
      </c>
      <c r="M5" s="2" t="s">
        <v>54</v>
      </c>
      <c r="N5" s="2" t="s">
        <v>26</v>
      </c>
      <c r="O5" s="2" t="s">
        <v>27</v>
      </c>
    </row>
    <row r="6" spans="1:15">
      <c r="A6" s="2">
        <v>5</v>
      </c>
      <c r="B6" s="2" t="s">
        <v>55</v>
      </c>
      <c r="C6" s="2" t="s">
        <v>56</v>
      </c>
      <c r="D6" s="2" t="s">
        <v>17</v>
      </c>
      <c r="E6" s="2" t="s">
        <v>18</v>
      </c>
      <c r="F6" s="2" t="s">
        <v>57</v>
      </c>
      <c r="G6" s="2"/>
      <c r="H6" s="2" t="s">
        <v>58</v>
      </c>
      <c r="I6" s="2" t="s">
        <v>59</v>
      </c>
      <c r="J6" s="2" t="s">
        <v>60</v>
      </c>
      <c r="K6" s="2" t="s">
        <v>61</v>
      </c>
      <c r="L6" s="2" t="s">
        <v>62</v>
      </c>
      <c r="M6" s="2" t="s">
        <v>63</v>
      </c>
      <c r="N6" s="2" t="s">
        <v>26</v>
      </c>
      <c r="O6" s="2" t="s">
        <v>27</v>
      </c>
    </row>
    <row r="7" spans="1:15">
      <c r="A7" s="2">
        <v>6</v>
      </c>
      <c r="B7" s="2" t="s">
        <v>64</v>
      </c>
      <c r="C7" s="2" t="s">
        <v>65</v>
      </c>
      <c r="D7" s="2" t="s">
        <v>66</v>
      </c>
      <c r="E7" s="2" t="s">
        <v>18</v>
      </c>
      <c r="F7" s="2" t="s">
        <v>67</v>
      </c>
      <c r="G7" s="2"/>
      <c r="H7" s="2" t="s">
        <v>68</v>
      </c>
      <c r="I7" s="2" t="s">
        <v>69</v>
      </c>
      <c r="J7" s="2" t="s">
        <v>70</v>
      </c>
      <c r="K7" s="2" t="s">
        <v>71</v>
      </c>
      <c r="L7" s="2" t="s">
        <v>72</v>
      </c>
      <c r="M7" s="2" t="s">
        <v>73</v>
      </c>
      <c r="N7" s="2" t="s">
        <v>26</v>
      </c>
      <c r="O7" s="2" t="s">
        <v>27</v>
      </c>
    </row>
    <row r="8" spans="1:15">
      <c r="A8" s="2">
        <v>7</v>
      </c>
      <c r="B8" s="2" t="s">
        <v>74</v>
      </c>
      <c r="C8" s="2" t="s">
        <v>75</v>
      </c>
      <c r="D8" s="2" t="s">
        <v>76</v>
      </c>
      <c r="E8" s="2" t="s">
        <v>18</v>
      </c>
      <c r="F8" s="2" t="s">
        <v>77</v>
      </c>
      <c r="G8" s="2"/>
      <c r="H8" s="2" t="s">
        <v>78</v>
      </c>
      <c r="I8" s="2" t="s">
        <v>79</v>
      </c>
      <c r="J8" s="2" t="s">
        <v>80</v>
      </c>
      <c r="K8" s="2" t="s">
        <v>81</v>
      </c>
      <c r="L8" s="2" t="s">
        <v>82</v>
      </c>
      <c r="M8" s="2" t="s">
        <v>83</v>
      </c>
      <c r="N8" s="2" t="s">
        <v>26</v>
      </c>
      <c r="O8" s="2" t="s">
        <v>27</v>
      </c>
    </row>
    <row r="9" spans="1:15">
      <c r="A9" s="2">
        <v>8</v>
      </c>
      <c r="B9" s="2" t="s">
        <v>84</v>
      </c>
      <c r="C9" s="2" t="s">
        <v>85</v>
      </c>
      <c r="D9" s="2" t="s">
        <v>66</v>
      </c>
      <c r="E9" s="2" t="s">
        <v>18</v>
      </c>
      <c r="F9" s="2" t="s">
        <v>86</v>
      </c>
      <c r="G9" s="2"/>
      <c r="H9" s="2" t="s">
        <v>87</v>
      </c>
      <c r="I9" s="2" t="s">
        <v>88</v>
      </c>
      <c r="J9" s="2" t="s">
        <v>89</v>
      </c>
      <c r="K9" s="2" t="s">
        <v>90</v>
      </c>
      <c r="L9" s="2" t="s">
        <v>91</v>
      </c>
      <c r="M9" s="2" t="s">
        <v>92</v>
      </c>
      <c r="N9" s="2" t="s">
        <v>26</v>
      </c>
      <c r="O9" s="2" t="s">
        <v>27</v>
      </c>
    </row>
    <row r="10" spans="1:15">
      <c r="A10" s="2">
        <v>9</v>
      </c>
      <c r="B10" s="2" t="s">
        <v>93</v>
      </c>
      <c r="C10" s="2" t="s">
        <v>94</v>
      </c>
      <c r="D10" s="2" t="s">
        <v>66</v>
      </c>
      <c r="E10" s="2" t="s">
        <v>18</v>
      </c>
      <c r="F10" s="2" t="s">
        <v>95</v>
      </c>
      <c r="G10" s="2"/>
      <c r="H10" s="2" t="s">
        <v>96</v>
      </c>
      <c r="I10" s="2" t="s">
        <v>97</v>
      </c>
      <c r="J10" s="2" t="s">
        <v>98</v>
      </c>
      <c r="K10" s="2" t="s">
        <v>99</v>
      </c>
      <c r="L10" s="2" t="s">
        <v>100</v>
      </c>
      <c r="M10" s="2" t="s">
        <v>101</v>
      </c>
      <c r="N10" s="2" t="s">
        <v>26</v>
      </c>
      <c r="O10" s="2" t="s">
        <v>27</v>
      </c>
    </row>
    <row r="11" spans="1:15">
      <c r="A11" s="2">
        <v>10</v>
      </c>
      <c r="B11" s="2" t="s">
        <v>102</v>
      </c>
      <c r="C11" s="2" t="s">
        <v>103</v>
      </c>
      <c r="D11" s="2" t="s">
        <v>76</v>
      </c>
      <c r="E11" s="2" t="s">
        <v>18</v>
      </c>
      <c r="F11" s="2" t="s">
        <v>104</v>
      </c>
      <c r="G11" s="2"/>
      <c r="H11" s="2" t="s">
        <v>105</v>
      </c>
      <c r="I11" s="2" t="s">
        <v>106</v>
      </c>
      <c r="J11" s="2" t="s">
        <v>107</v>
      </c>
      <c r="K11" s="2" t="s">
        <v>108</v>
      </c>
      <c r="L11" s="2" t="s">
        <v>109</v>
      </c>
      <c r="M11" s="2" t="s">
        <v>110</v>
      </c>
      <c r="N11" s="2" t="s">
        <v>26</v>
      </c>
      <c r="O11" s="2" t="s">
        <v>27</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4.7109375" customWidth="1"/>
    <col min="4" max="4" width="92.7109375" customWidth="1"/>
  </cols>
  <sheetData>
    <row r="1" spans="1:4">
      <c r="A1" s="1" t="s">
        <v>111</v>
      </c>
      <c r="B1" s="1" t="s">
        <v>112</v>
      </c>
      <c r="C1" s="1" t="s">
        <v>113</v>
      </c>
      <c r="D1" s="1" t="s">
        <v>114</v>
      </c>
    </row>
    <row r="2" spans="1:4">
      <c r="A2" s="2" t="s">
        <v>115</v>
      </c>
      <c r="B2" s="2" t="s">
        <v>116</v>
      </c>
      <c r="C2" s="2" t="s">
        <v>117</v>
      </c>
      <c r="D2" s="2" t="s">
        <v>118</v>
      </c>
    </row>
    <row r="3" spans="1:4">
      <c r="A3" s="2" t="s">
        <v>119</v>
      </c>
      <c r="B3" s="2" t="s">
        <v>120</v>
      </c>
      <c r="C3" s="2" t="s">
        <v>121</v>
      </c>
      <c r="D3" s="2" t="s">
        <v>122</v>
      </c>
    </row>
    <row r="4" spans="1:4">
      <c r="A4" s="2" t="s">
        <v>123</v>
      </c>
      <c r="B4" s="2" t="s">
        <v>124</v>
      </c>
      <c r="C4" s="2" t="s">
        <v>125</v>
      </c>
      <c r="D4" s="2" t="s">
        <v>126</v>
      </c>
    </row>
    <row r="5" spans="1:4">
      <c r="A5" s="2" t="s">
        <v>127</v>
      </c>
      <c r="B5" s="2" t="s">
        <v>128</v>
      </c>
      <c r="C5" s="2" t="s">
        <v>129</v>
      </c>
      <c r="D5" s="2" t="s">
        <v>130</v>
      </c>
    </row>
    <row r="6" spans="1:4">
      <c r="A6" s="2" t="s">
        <v>131</v>
      </c>
      <c r="B6" s="2" t="s">
        <v>132</v>
      </c>
      <c r="C6" s="2" t="s">
        <v>133</v>
      </c>
      <c r="D6" s="2" t="s">
        <v>134</v>
      </c>
    </row>
    <row r="7" spans="1:4">
      <c r="A7" s="2" t="s">
        <v>135</v>
      </c>
      <c r="B7" s="2" t="s">
        <v>136</v>
      </c>
      <c r="C7" s="2" t="s">
        <v>137</v>
      </c>
      <c r="D7" s="2" t="s">
        <v>138</v>
      </c>
    </row>
    <row r="8" spans="1:4">
      <c r="A8" s="2" t="s">
        <v>139</v>
      </c>
      <c r="B8" s="2" t="s">
        <v>140</v>
      </c>
      <c r="C8" s="2" t="s">
        <v>141</v>
      </c>
      <c r="D8" s="2" t="s">
        <v>142</v>
      </c>
    </row>
    <row r="9" spans="1:4">
      <c r="A9" s="2" t="s">
        <v>143</v>
      </c>
      <c r="B9" s="2" t="s">
        <v>144</v>
      </c>
      <c r="C9" s="2" t="s">
        <v>145</v>
      </c>
      <c r="D9" s="2" t="s">
        <v>146</v>
      </c>
    </row>
    <row r="10" spans="1:4">
      <c r="A10" s="2" t="s">
        <v>147</v>
      </c>
      <c r="B10" s="2" t="s">
        <v>148</v>
      </c>
      <c r="C10" s="2" t="s">
        <v>149</v>
      </c>
      <c r="D10" s="2" t="s">
        <v>150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35"/>
  <sheetViews>
    <sheetView workbookViewId="0">
      <pane ySplit="1" topLeftCell="A2" activePane="bottomLeft" state="frozen"/>
      <selection pane="bottomLeft"/>
    </sheetView>
  </sheetViews>
  <sheetFormatPr defaultRowHeight="15"/>
  <cols>
    <col min="1" max="1" width="32.7109375" customWidth="1"/>
    <col min="2" max="2" width="10.7109375" customWidth="1"/>
    <col min="3" max="3" width="34.7109375" customWidth="1"/>
    <col min="4" max="4" width="24.7109375" customWidth="1"/>
    <col min="5" max="5" width="14.7109375" customWidth="1"/>
    <col min="6" max="6" width="24.7109375" customWidth="1"/>
    <col min="7" max="7" width="14.7109375" customWidth="1"/>
    <col min="8" max="8" width="24.7109375" customWidth="1"/>
    <col min="9" max="9" width="38.7109375" customWidth="1"/>
    <col min="10" max="10" width="18.7109375" customWidth="1"/>
    <col min="11" max="12" width="12.7109375" customWidth="1"/>
    <col min="13" max="13" width="14.7109375" customWidth="1"/>
    <col min="14" max="14" width="58.7109375" customWidth="1"/>
    <col min="15" max="15" width="12.7109375" customWidth="1"/>
    <col min="16" max="16" width="14.7109375" customWidth="1"/>
    <col min="17" max="17" width="50.7109375" customWidth="1"/>
    <col min="18" max="18" width="14.7109375" customWidth="1"/>
  </cols>
  <sheetData>
    <row r="1" spans="1:18">
      <c r="A1" s="1" t="s">
        <v>151</v>
      </c>
      <c r="B1" s="1" t="s">
        <v>152</v>
      </c>
      <c r="C1" s="1" t="s">
        <v>153</v>
      </c>
      <c r="D1" s="1" t="s">
        <v>154</v>
      </c>
      <c r="E1" s="1" t="s">
        <v>155</v>
      </c>
      <c r="F1" s="1" t="s">
        <v>156</v>
      </c>
      <c r="G1" s="1" t="s">
        <v>157</v>
      </c>
      <c r="H1" s="1" t="s">
        <v>158</v>
      </c>
      <c r="I1" s="1" t="s">
        <v>159</v>
      </c>
      <c r="J1" s="1" t="s">
        <v>112</v>
      </c>
      <c r="K1" s="1" t="s">
        <v>160</v>
      </c>
      <c r="L1" s="1" t="s">
        <v>161</v>
      </c>
      <c r="M1" s="1" t="s">
        <v>162</v>
      </c>
      <c r="N1" s="1" t="s">
        <v>163</v>
      </c>
      <c r="O1" s="1" t="s">
        <v>164</v>
      </c>
      <c r="P1" s="1" t="s">
        <v>165</v>
      </c>
      <c r="Q1" s="1" t="s">
        <v>166</v>
      </c>
      <c r="R1" s="1" t="s">
        <v>167</v>
      </c>
    </row>
    <row r="2" spans="1:18">
      <c r="A2" s="2" t="s">
        <v>15</v>
      </c>
      <c r="B2" s="2">
        <v>1</v>
      </c>
      <c r="C2" s="2" t="s">
        <v>20</v>
      </c>
      <c r="D2" s="2"/>
      <c r="E2" s="2"/>
      <c r="F2" s="2"/>
      <c r="G2" s="2"/>
      <c r="H2" s="2"/>
      <c r="I2" s="2"/>
      <c r="J2" s="2" t="s">
        <v>27</v>
      </c>
      <c r="K2" s="3">
        <v>0</v>
      </c>
      <c r="L2" s="3">
        <v>0</v>
      </c>
      <c r="M2" s="2"/>
      <c r="N2" s="2"/>
      <c r="O2" s="2"/>
      <c r="P2" s="2" t="s">
        <v>26</v>
      </c>
      <c r="Q2" s="2" t="s">
        <v>25</v>
      </c>
      <c r="R2" s="3">
        <v>150</v>
      </c>
    </row>
    <row r="3" spans="1:18">
      <c r="A3" s="2" t="s">
        <v>28</v>
      </c>
      <c r="B3" s="2">
        <v>2</v>
      </c>
      <c r="C3" s="2" t="s">
        <v>31</v>
      </c>
      <c r="D3" s="2"/>
      <c r="E3" s="2"/>
      <c r="F3" s="2"/>
      <c r="G3" s="2"/>
      <c r="H3" s="2"/>
      <c r="I3" s="2"/>
      <c r="J3" s="2" t="s">
        <v>27</v>
      </c>
      <c r="K3" s="3">
        <v>0</v>
      </c>
      <c r="L3" s="3">
        <v>0</v>
      </c>
      <c r="M3" s="2"/>
      <c r="N3" s="2"/>
      <c r="O3" s="2"/>
      <c r="P3" s="2" t="s">
        <v>26</v>
      </c>
      <c r="Q3" s="2" t="s">
        <v>36</v>
      </c>
      <c r="R3" s="3">
        <v>150</v>
      </c>
    </row>
    <row r="4" spans="1:18">
      <c r="A4" s="2" t="s">
        <v>37</v>
      </c>
      <c r="B4" s="2">
        <v>3</v>
      </c>
      <c r="C4" s="2" t="s">
        <v>40</v>
      </c>
      <c r="D4" s="2"/>
      <c r="E4" s="2"/>
      <c r="F4" s="2"/>
      <c r="G4" s="2"/>
      <c r="H4" s="2"/>
      <c r="I4" s="2"/>
      <c r="J4" s="2" t="s">
        <v>27</v>
      </c>
      <c r="K4" s="3">
        <v>0</v>
      </c>
      <c r="L4" s="3">
        <v>0</v>
      </c>
      <c r="M4" s="2"/>
      <c r="N4" s="2"/>
      <c r="O4" s="2"/>
      <c r="P4" s="2" t="s">
        <v>26</v>
      </c>
      <c r="Q4" s="2" t="s">
        <v>45</v>
      </c>
      <c r="R4" s="3">
        <v>150</v>
      </c>
    </row>
    <row r="5" spans="1:18">
      <c r="A5" s="2" t="s">
        <v>46</v>
      </c>
      <c r="B5" s="2">
        <v>4</v>
      </c>
      <c r="C5" s="2" t="s">
        <v>49</v>
      </c>
      <c r="D5" s="2"/>
      <c r="E5" s="2"/>
      <c r="F5" s="2"/>
      <c r="G5" s="2"/>
      <c r="H5" s="2"/>
      <c r="I5" s="2"/>
      <c r="J5" s="2" t="s">
        <v>27</v>
      </c>
      <c r="K5" s="3">
        <v>0</v>
      </c>
      <c r="L5" s="3">
        <v>0</v>
      </c>
      <c r="M5" s="2"/>
      <c r="N5" s="2"/>
      <c r="O5" s="2"/>
      <c r="P5" s="2" t="s">
        <v>26</v>
      </c>
      <c r="Q5" s="2" t="s">
        <v>54</v>
      </c>
      <c r="R5" s="3">
        <v>150</v>
      </c>
    </row>
    <row r="6" spans="1:18">
      <c r="A6" s="2" t="s">
        <v>55</v>
      </c>
      <c r="B6" s="2">
        <v>5</v>
      </c>
      <c r="C6" s="2" t="s">
        <v>58</v>
      </c>
      <c r="D6" s="2"/>
      <c r="E6" s="2"/>
      <c r="F6" s="2"/>
      <c r="G6" s="2"/>
      <c r="H6" s="2"/>
      <c r="I6" s="2"/>
      <c r="J6" s="2" t="s">
        <v>27</v>
      </c>
      <c r="K6" s="3">
        <v>0</v>
      </c>
      <c r="L6" s="3">
        <v>0</v>
      </c>
      <c r="M6" s="2"/>
      <c r="N6" s="2"/>
      <c r="O6" s="2"/>
      <c r="P6" s="2" t="s">
        <v>26</v>
      </c>
      <c r="Q6" s="2" t="s">
        <v>63</v>
      </c>
      <c r="R6" s="3">
        <v>150</v>
      </c>
    </row>
    <row r="7" spans="1:18">
      <c r="A7" s="2" t="s">
        <v>64</v>
      </c>
      <c r="B7" s="2">
        <v>6</v>
      </c>
      <c r="C7" s="2" t="s">
        <v>68</v>
      </c>
      <c r="D7" s="2"/>
      <c r="E7" s="2"/>
      <c r="F7" s="2"/>
      <c r="G7" s="2"/>
      <c r="H7" s="2"/>
      <c r="I7" s="2"/>
      <c r="J7" s="2" t="s">
        <v>27</v>
      </c>
      <c r="K7" s="3">
        <v>0</v>
      </c>
      <c r="L7" s="3">
        <v>0</v>
      </c>
      <c r="M7" s="2"/>
      <c r="N7" s="2"/>
      <c r="O7" s="2"/>
      <c r="P7" s="2" t="s">
        <v>26</v>
      </c>
      <c r="Q7" s="2" t="s">
        <v>73</v>
      </c>
      <c r="R7" s="3">
        <v>150</v>
      </c>
    </row>
    <row r="8" spans="1:18">
      <c r="A8" s="2" t="s">
        <v>74</v>
      </c>
      <c r="B8" s="2">
        <v>7</v>
      </c>
      <c r="C8" s="2" t="s">
        <v>78</v>
      </c>
      <c r="D8" s="2"/>
      <c r="E8" s="2"/>
      <c r="F8" s="2"/>
      <c r="G8" s="2"/>
      <c r="H8" s="2"/>
      <c r="I8" s="2"/>
      <c r="J8" s="2" t="s">
        <v>27</v>
      </c>
      <c r="K8" s="3">
        <v>0</v>
      </c>
      <c r="L8" s="3">
        <v>0</v>
      </c>
      <c r="M8" s="2"/>
      <c r="N8" s="2"/>
      <c r="O8" s="2"/>
      <c r="P8" s="2" t="s">
        <v>26</v>
      </c>
      <c r="Q8" s="2" t="s">
        <v>83</v>
      </c>
      <c r="R8" s="3">
        <v>150</v>
      </c>
    </row>
    <row r="9" spans="1:18">
      <c r="A9" s="2" t="s">
        <v>84</v>
      </c>
      <c r="B9" s="2">
        <v>8</v>
      </c>
      <c r="C9" s="2" t="s">
        <v>87</v>
      </c>
      <c r="D9" s="2"/>
      <c r="E9" s="2"/>
      <c r="F9" s="2"/>
      <c r="G9" s="2"/>
      <c r="H9" s="2"/>
      <c r="I9" s="2"/>
      <c r="J9" s="2" t="s">
        <v>27</v>
      </c>
      <c r="K9" s="3">
        <v>0</v>
      </c>
      <c r="L9" s="3">
        <v>0</v>
      </c>
      <c r="M9" s="2"/>
      <c r="N9" s="2"/>
      <c r="O9" s="2"/>
      <c r="P9" s="2" t="s">
        <v>26</v>
      </c>
      <c r="Q9" s="2" t="s">
        <v>92</v>
      </c>
      <c r="R9" s="3">
        <v>150</v>
      </c>
    </row>
    <row r="10" spans="1:18">
      <c r="A10" s="2" t="s">
        <v>93</v>
      </c>
      <c r="B10" s="2">
        <v>9</v>
      </c>
      <c r="C10" s="2" t="s">
        <v>96</v>
      </c>
      <c r="D10" s="2"/>
      <c r="E10" s="2"/>
      <c r="F10" s="2"/>
      <c r="G10" s="2"/>
      <c r="H10" s="2"/>
      <c r="I10" s="2"/>
      <c r="J10" s="2" t="s">
        <v>27</v>
      </c>
      <c r="K10" s="3">
        <v>0</v>
      </c>
      <c r="L10" s="3">
        <v>0</v>
      </c>
      <c r="M10" s="2"/>
      <c r="N10" s="2"/>
      <c r="O10" s="2"/>
      <c r="P10" s="2" t="s">
        <v>26</v>
      </c>
      <c r="Q10" s="2" t="s">
        <v>101</v>
      </c>
      <c r="R10" s="3">
        <v>150</v>
      </c>
    </row>
    <row r="11" spans="1:18">
      <c r="A11" s="2" t="s">
        <v>102</v>
      </c>
      <c r="B11" s="2">
        <v>10</v>
      </c>
      <c r="C11" s="2" t="s">
        <v>105</v>
      </c>
      <c r="D11" s="2"/>
      <c r="E11" s="2"/>
      <c r="F11" s="2"/>
      <c r="G11" s="2"/>
      <c r="H11" s="2"/>
      <c r="I11" s="2"/>
      <c r="J11" s="2" t="s">
        <v>27</v>
      </c>
      <c r="K11" s="3">
        <v>0</v>
      </c>
      <c r="L11" s="3">
        <v>0</v>
      </c>
      <c r="M11" s="2"/>
      <c r="N11" s="2"/>
      <c r="O11" s="2"/>
      <c r="P11" s="2" t="s">
        <v>26</v>
      </c>
      <c r="Q11" s="2" t="s">
        <v>110</v>
      </c>
      <c r="R11" s="3">
        <v>150</v>
      </c>
    </row>
    <row r="12" spans="1:18">
      <c r="A12" s="2" t="s">
        <v>168</v>
      </c>
      <c r="B12" s="2" t="s">
        <v>169</v>
      </c>
      <c r="C12" s="2" t="s">
        <v>170</v>
      </c>
      <c r="D12" s="2" t="s">
        <v>171</v>
      </c>
      <c r="E12" s="2" t="s">
        <v>172</v>
      </c>
      <c r="F12" s="2" t="s">
        <v>173</v>
      </c>
      <c r="G12" s="2"/>
      <c r="H12" s="2"/>
      <c r="I12" s="2"/>
      <c r="J12" s="2" t="s">
        <v>174</v>
      </c>
      <c r="K12" s="3">
        <v>0</v>
      </c>
      <c r="L12" s="3">
        <v>0</v>
      </c>
      <c r="M12" s="2"/>
      <c r="N12" s="2" t="s">
        <v>175</v>
      </c>
      <c r="O12" s="2"/>
      <c r="P12" s="2"/>
      <c r="Q12" s="2"/>
      <c r="R12" s="3">
        <v>150</v>
      </c>
    </row>
    <row r="13" spans="1:18">
      <c r="A13" s="2" t="s">
        <v>176</v>
      </c>
      <c r="B13" s="2" t="s">
        <v>169</v>
      </c>
      <c r="C13" s="2" t="s">
        <v>170</v>
      </c>
      <c r="D13" s="2" t="s">
        <v>177</v>
      </c>
      <c r="E13" s="2" t="s">
        <v>178</v>
      </c>
      <c r="F13" s="2" t="s">
        <v>179</v>
      </c>
      <c r="G13" s="2" t="s">
        <v>178</v>
      </c>
      <c r="H13" s="2" t="s">
        <v>180</v>
      </c>
      <c r="I13" s="2"/>
      <c r="J13" s="2" t="s">
        <v>174</v>
      </c>
      <c r="K13" s="3">
        <v>0</v>
      </c>
      <c r="L13" s="3">
        <v>0</v>
      </c>
      <c r="M13" s="2"/>
      <c r="N13" s="2" t="s">
        <v>181</v>
      </c>
      <c r="O13" s="2"/>
      <c r="P13" s="2"/>
      <c r="Q13" s="2"/>
      <c r="R13" s="3">
        <v>150</v>
      </c>
    </row>
    <row r="14" spans="1:18">
      <c r="A14" s="2" t="s">
        <v>182</v>
      </c>
      <c r="B14" s="2" t="s">
        <v>169</v>
      </c>
      <c r="C14" s="2" t="s">
        <v>170</v>
      </c>
      <c r="D14" s="2" t="s">
        <v>183</v>
      </c>
      <c r="E14" s="2" t="s">
        <v>184</v>
      </c>
      <c r="F14" s="2"/>
      <c r="G14" s="2"/>
      <c r="H14" s="2"/>
      <c r="I14" s="2"/>
      <c r="J14" s="2" t="s">
        <v>174</v>
      </c>
      <c r="K14" s="3">
        <v>0</v>
      </c>
      <c r="L14" s="3">
        <v>0</v>
      </c>
      <c r="M14" s="2"/>
      <c r="N14" s="2" t="s">
        <v>185</v>
      </c>
      <c r="O14" s="2"/>
      <c r="P14" s="2"/>
      <c r="Q14" s="2"/>
      <c r="R14" s="3">
        <v>150</v>
      </c>
    </row>
    <row r="15" spans="1:18">
      <c r="A15" s="2" t="s">
        <v>186</v>
      </c>
      <c r="B15" s="2" t="s">
        <v>169</v>
      </c>
      <c r="C15" s="2" t="s">
        <v>170</v>
      </c>
      <c r="D15" s="2" t="s">
        <v>187</v>
      </c>
      <c r="E15" s="2" t="s">
        <v>184</v>
      </c>
      <c r="F15" s="2"/>
      <c r="G15" s="2"/>
      <c r="H15" s="2"/>
      <c r="I15" s="2"/>
      <c r="J15" s="2" t="s">
        <v>174</v>
      </c>
      <c r="K15" s="3">
        <v>0</v>
      </c>
      <c r="L15" s="3">
        <v>0</v>
      </c>
      <c r="M15" s="2"/>
      <c r="N15" s="2" t="s">
        <v>185</v>
      </c>
      <c r="O15" s="2"/>
      <c r="P15" s="2"/>
      <c r="Q15" s="2"/>
      <c r="R15" s="3">
        <v>150</v>
      </c>
    </row>
    <row r="16" spans="1:18">
      <c r="A16" s="2" t="s">
        <v>188</v>
      </c>
      <c r="B16" s="2" t="s">
        <v>169</v>
      </c>
      <c r="C16" s="2" t="s">
        <v>170</v>
      </c>
      <c r="D16" s="2" t="s">
        <v>189</v>
      </c>
      <c r="E16" s="2" t="s">
        <v>184</v>
      </c>
      <c r="F16" s="2"/>
      <c r="G16" s="2"/>
      <c r="H16" s="2"/>
      <c r="I16" s="2"/>
      <c r="J16" s="2" t="s">
        <v>174</v>
      </c>
      <c r="K16" s="3">
        <v>0</v>
      </c>
      <c r="L16" s="3">
        <v>0</v>
      </c>
      <c r="M16" s="2"/>
      <c r="N16" s="2" t="s">
        <v>190</v>
      </c>
      <c r="O16" s="2"/>
      <c r="P16" s="2"/>
      <c r="Q16" s="2"/>
      <c r="R16" s="3">
        <v>150</v>
      </c>
    </row>
    <row r="17" spans="1:18">
      <c r="A17" s="2" t="s">
        <v>191</v>
      </c>
      <c r="B17" s="2" t="s">
        <v>169</v>
      </c>
      <c r="C17" s="2" t="s">
        <v>170</v>
      </c>
      <c r="D17" s="2" t="s">
        <v>192</v>
      </c>
      <c r="E17" s="2" t="s">
        <v>193</v>
      </c>
      <c r="F17" s="2"/>
      <c r="G17" s="2"/>
      <c r="H17" s="2"/>
      <c r="I17" s="2"/>
      <c r="J17" s="2" t="s">
        <v>174</v>
      </c>
      <c r="K17" s="3">
        <v>0</v>
      </c>
      <c r="L17" s="3">
        <v>0</v>
      </c>
      <c r="M17" s="2"/>
      <c r="N17" s="2" t="s">
        <v>190</v>
      </c>
      <c r="O17" s="2"/>
      <c r="P17" s="2"/>
      <c r="Q17" s="2"/>
      <c r="R17" s="3">
        <v>150</v>
      </c>
    </row>
    <row r="18" spans="1:18">
      <c r="A18" s="2" t="s">
        <v>194</v>
      </c>
      <c r="B18" s="2" t="s">
        <v>169</v>
      </c>
      <c r="C18" s="2" t="s">
        <v>170</v>
      </c>
      <c r="D18" s="2" t="s">
        <v>195</v>
      </c>
      <c r="E18" s="2" t="s">
        <v>193</v>
      </c>
      <c r="F18" s="2"/>
      <c r="G18" s="2"/>
      <c r="H18" s="2"/>
      <c r="I18" s="2"/>
      <c r="J18" s="2" t="s">
        <v>174</v>
      </c>
      <c r="K18" s="3">
        <v>0</v>
      </c>
      <c r="L18" s="3">
        <v>0</v>
      </c>
      <c r="M18" s="2"/>
      <c r="N18" s="2" t="s">
        <v>190</v>
      </c>
      <c r="O18" s="2"/>
      <c r="P18" s="2"/>
      <c r="Q18" s="2"/>
      <c r="R18" s="3">
        <v>150</v>
      </c>
    </row>
    <row r="19" spans="1:18">
      <c r="A19" s="2" t="s">
        <v>196</v>
      </c>
      <c r="B19" s="2" t="s">
        <v>169</v>
      </c>
      <c r="C19" s="2" t="s">
        <v>170</v>
      </c>
      <c r="D19" s="2" t="s">
        <v>197</v>
      </c>
      <c r="E19" s="2" t="s">
        <v>193</v>
      </c>
      <c r="F19" s="2"/>
      <c r="G19" s="2"/>
      <c r="H19" s="2"/>
      <c r="I19" s="2"/>
      <c r="J19" s="2" t="s">
        <v>174</v>
      </c>
      <c r="K19" s="3">
        <v>0</v>
      </c>
      <c r="L19" s="3">
        <v>0</v>
      </c>
      <c r="M19" s="2"/>
      <c r="N19" s="2" t="s">
        <v>190</v>
      </c>
      <c r="O19" s="2"/>
      <c r="P19" s="2"/>
      <c r="Q19" s="2"/>
      <c r="R19" s="3">
        <v>150</v>
      </c>
    </row>
    <row r="20" spans="1:18">
      <c r="A20" s="2" t="s">
        <v>198</v>
      </c>
      <c r="B20" s="2" t="s">
        <v>169</v>
      </c>
      <c r="C20" s="2" t="s">
        <v>170</v>
      </c>
      <c r="D20" s="2" t="s">
        <v>199</v>
      </c>
      <c r="E20" s="2" t="s">
        <v>193</v>
      </c>
      <c r="F20" s="2"/>
      <c r="G20" s="2"/>
      <c r="H20" s="2"/>
      <c r="I20" s="2"/>
      <c r="J20" s="2" t="s">
        <v>174</v>
      </c>
      <c r="K20" s="3">
        <v>0</v>
      </c>
      <c r="L20" s="3">
        <v>0</v>
      </c>
      <c r="M20" s="2"/>
      <c r="N20" s="2" t="s">
        <v>190</v>
      </c>
      <c r="O20" s="2"/>
      <c r="P20" s="2"/>
      <c r="Q20" s="2"/>
      <c r="R20" s="3">
        <v>150</v>
      </c>
    </row>
    <row r="21" spans="1:18">
      <c r="A21" s="2" t="s">
        <v>200</v>
      </c>
      <c r="B21" s="2" t="s">
        <v>169</v>
      </c>
      <c r="C21" s="2" t="s">
        <v>170</v>
      </c>
      <c r="D21" s="2" t="s">
        <v>201</v>
      </c>
      <c r="E21" s="2" t="s">
        <v>193</v>
      </c>
      <c r="F21" s="2"/>
      <c r="G21" s="2"/>
      <c r="H21" s="2"/>
      <c r="I21" s="2"/>
      <c r="J21" s="2" t="s">
        <v>174</v>
      </c>
      <c r="K21" s="3">
        <v>0</v>
      </c>
      <c r="L21" s="3">
        <v>0</v>
      </c>
      <c r="M21" s="2"/>
      <c r="N21" s="2" t="s">
        <v>190</v>
      </c>
      <c r="O21" s="2"/>
      <c r="P21" s="2"/>
      <c r="Q21" s="2"/>
      <c r="R21" s="3">
        <v>150</v>
      </c>
    </row>
    <row r="22" spans="1:18">
      <c r="A22" s="2" t="s">
        <v>202</v>
      </c>
      <c r="B22" s="2" t="s">
        <v>169</v>
      </c>
      <c r="C22" s="2" t="s">
        <v>170</v>
      </c>
      <c r="D22" s="2" t="s">
        <v>203</v>
      </c>
      <c r="E22" s="2" t="s">
        <v>184</v>
      </c>
      <c r="F22" s="2" t="s">
        <v>204</v>
      </c>
      <c r="G22" s="2"/>
      <c r="H22" s="2"/>
      <c r="I22" s="2"/>
      <c r="J22" s="2" t="s">
        <v>174</v>
      </c>
      <c r="K22" s="3">
        <v>0</v>
      </c>
      <c r="L22" s="3">
        <v>0</v>
      </c>
      <c r="M22" s="2"/>
      <c r="N22" s="2" t="s">
        <v>205</v>
      </c>
      <c r="O22" s="2"/>
      <c r="P22" s="2"/>
      <c r="Q22" s="2"/>
      <c r="R22" s="3">
        <v>150</v>
      </c>
    </row>
    <row r="23" spans="1:18">
      <c r="A23" s="2" t="s">
        <v>206</v>
      </c>
      <c r="B23" s="2" t="s">
        <v>169</v>
      </c>
      <c r="C23" s="2" t="s">
        <v>170</v>
      </c>
      <c r="D23" s="2" t="s">
        <v>207</v>
      </c>
      <c r="E23" s="2" t="s">
        <v>184</v>
      </c>
      <c r="F23" s="2"/>
      <c r="G23" s="2"/>
      <c r="H23" s="2"/>
      <c r="I23" s="2"/>
      <c r="J23" s="2" t="s">
        <v>174</v>
      </c>
      <c r="K23" s="3">
        <v>0</v>
      </c>
      <c r="L23" s="3">
        <v>0</v>
      </c>
      <c r="M23" s="2"/>
      <c r="N23" s="2" t="s">
        <v>190</v>
      </c>
      <c r="O23" s="2"/>
      <c r="P23" s="2"/>
      <c r="Q23" s="2"/>
      <c r="R23" s="3">
        <v>150</v>
      </c>
    </row>
    <row r="24" spans="1:18">
      <c r="A24" s="2" t="s">
        <v>208</v>
      </c>
      <c r="B24" s="2" t="s">
        <v>169</v>
      </c>
      <c r="C24" s="2" t="s">
        <v>170</v>
      </c>
      <c r="D24" s="2" t="s">
        <v>209</v>
      </c>
      <c r="E24" s="2" t="s">
        <v>184</v>
      </c>
      <c r="F24" s="2"/>
      <c r="G24" s="2"/>
      <c r="H24" s="2"/>
      <c r="I24" s="2"/>
      <c r="J24" s="2" t="s">
        <v>174</v>
      </c>
      <c r="K24" s="3">
        <v>0</v>
      </c>
      <c r="L24" s="3">
        <v>0</v>
      </c>
      <c r="M24" s="2"/>
      <c r="N24" s="2" t="s">
        <v>190</v>
      </c>
      <c r="O24" s="2"/>
      <c r="P24" s="2"/>
      <c r="Q24" s="2"/>
      <c r="R24" s="3">
        <v>150</v>
      </c>
    </row>
    <row r="25" spans="1:18">
      <c r="A25" s="2" t="s">
        <v>210</v>
      </c>
      <c r="B25" s="2" t="s">
        <v>169</v>
      </c>
      <c r="C25" s="2" t="s">
        <v>170</v>
      </c>
      <c r="D25" s="2" t="s">
        <v>211</v>
      </c>
      <c r="E25" s="2" t="s">
        <v>184</v>
      </c>
      <c r="F25" s="2"/>
      <c r="G25" s="2"/>
      <c r="H25" s="2"/>
      <c r="I25" s="2"/>
      <c r="J25" s="2" t="s">
        <v>174</v>
      </c>
      <c r="K25" s="3">
        <v>0</v>
      </c>
      <c r="L25" s="3">
        <v>0</v>
      </c>
      <c r="M25" s="2"/>
      <c r="N25" s="2" t="s">
        <v>190</v>
      </c>
      <c r="O25" s="2"/>
      <c r="P25" s="2"/>
      <c r="Q25" s="2"/>
      <c r="R25" s="3">
        <v>150</v>
      </c>
    </row>
    <row r="26" spans="1:18">
      <c r="A26" s="2" t="s">
        <v>212</v>
      </c>
      <c r="B26" s="2" t="s">
        <v>169</v>
      </c>
      <c r="C26" s="2" t="s">
        <v>170</v>
      </c>
      <c r="D26" s="2" t="s">
        <v>213</v>
      </c>
      <c r="E26" s="2" t="s">
        <v>184</v>
      </c>
      <c r="F26" s="2"/>
      <c r="G26" s="2"/>
      <c r="H26" s="2"/>
      <c r="I26" s="2"/>
      <c r="J26" s="2" t="s">
        <v>174</v>
      </c>
      <c r="K26" s="3">
        <v>0</v>
      </c>
      <c r="L26" s="3">
        <v>0</v>
      </c>
      <c r="M26" s="2"/>
      <c r="N26" s="2" t="s">
        <v>190</v>
      </c>
      <c r="O26" s="2"/>
      <c r="P26" s="2"/>
      <c r="Q26" s="2"/>
      <c r="R26" s="3">
        <v>150</v>
      </c>
    </row>
    <row r="27" spans="1:18">
      <c r="A27" s="2" t="s">
        <v>214</v>
      </c>
      <c r="B27" s="2" t="s">
        <v>169</v>
      </c>
      <c r="C27" s="2" t="s">
        <v>170</v>
      </c>
      <c r="D27" s="2" t="s">
        <v>215</v>
      </c>
      <c r="E27" s="2" t="s">
        <v>26</v>
      </c>
      <c r="F27" s="2"/>
      <c r="G27" s="2"/>
      <c r="H27" s="2"/>
      <c r="I27" s="2"/>
      <c r="J27" s="2" t="s">
        <v>174</v>
      </c>
      <c r="K27" s="3">
        <v>0</v>
      </c>
      <c r="L27" s="3">
        <v>0</v>
      </c>
      <c r="M27" s="2"/>
      <c r="N27" s="2" t="s">
        <v>216</v>
      </c>
      <c r="O27" s="2"/>
      <c r="P27" s="2"/>
      <c r="Q27" s="2"/>
      <c r="R27" s="3">
        <v>150</v>
      </c>
    </row>
    <row r="28" spans="1:18">
      <c r="A28" s="2" t="s">
        <v>217</v>
      </c>
      <c r="B28" s="2" t="s">
        <v>169</v>
      </c>
      <c r="C28" s="2" t="s">
        <v>170</v>
      </c>
      <c r="D28" s="2" t="s">
        <v>215</v>
      </c>
      <c r="E28" s="2" t="s">
        <v>26</v>
      </c>
      <c r="F28" s="2"/>
      <c r="G28" s="2"/>
      <c r="H28" s="2"/>
      <c r="I28" s="2"/>
      <c r="J28" s="2" t="s">
        <v>174</v>
      </c>
      <c r="K28" s="3">
        <v>0</v>
      </c>
      <c r="L28" s="3">
        <v>0</v>
      </c>
      <c r="M28" s="2"/>
      <c r="N28" s="2" t="s">
        <v>216</v>
      </c>
      <c r="O28" s="2"/>
      <c r="P28" s="2"/>
      <c r="Q28" s="2"/>
      <c r="R28" s="3">
        <v>150</v>
      </c>
    </row>
    <row r="29" spans="1:18">
      <c r="A29" s="2" t="s">
        <v>218</v>
      </c>
      <c r="B29" s="2" t="s">
        <v>169</v>
      </c>
      <c r="C29" s="2" t="s">
        <v>170</v>
      </c>
      <c r="D29" s="2" t="s">
        <v>215</v>
      </c>
      <c r="E29" s="2" t="s">
        <v>26</v>
      </c>
      <c r="F29" s="2"/>
      <c r="G29" s="2"/>
      <c r="H29" s="2"/>
      <c r="I29" s="2"/>
      <c r="J29" s="2" t="s">
        <v>174</v>
      </c>
      <c r="K29" s="3">
        <v>0</v>
      </c>
      <c r="L29" s="3">
        <v>0</v>
      </c>
      <c r="M29" s="2"/>
      <c r="N29" s="2" t="s">
        <v>216</v>
      </c>
      <c r="O29" s="2"/>
      <c r="P29" s="2"/>
      <c r="Q29" s="2"/>
      <c r="R29" s="3">
        <v>150</v>
      </c>
    </row>
    <row r="30" spans="1:18">
      <c r="A30" s="2" t="s">
        <v>219</v>
      </c>
      <c r="B30" s="2" t="s">
        <v>169</v>
      </c>
      <c r="C30" s="2" t="s">
        <v>170</v>
      </c>
      <c r="D30" s="2" t="s">
        <v>215</v>
      </c>
      <c r="E30" s="2" t="s">
        <v>26</v>
      </c>
      <c r="F30" s="2"/>
      <c r="G30" s="2"/>
      <c r="H30" s="2"/>
      <c r="I30" s="2"/>
      <c r="J30" s="2" t="s">
        <v>174</v>
      </c>
      <c r="K30" s="3">
        <v>0</v>
      </c>
      <c r="L30" s="3">
        <v>0</v>
      </c>
      <c r="M30" s="2"/>
      <c r="N30" s="2" t="s">
        <v>216</v>
      </c>
      <c r="O30" s="2"/>
      <c r="P30" s="2"/>
      <c r="Q30" s="2"/>
      <c r="R30" s="3">
        <v>150</v>
      </c>
    </row>
    <row r="31" spans="1:18">
      <c r="A31" s="2" t="s">
        <v>220</v>
      </c>
      <c r="B31" s="2" t="s">
        <v>169</v>
      </c>
      <c r="C31" s="2" t="s">
        <v>170</v>
      </c>
      <c r="D31" s="2" t="s">
        <v>215</v>
      </c>
      <c r="E31" s="2" t="s">
        <v>26</v>
      </c>
      <c r="F31" s="2"/>
      <c r="G31" s="2"/>
      <c r="H31" s="2"/>
      <c r="I31" s="2"/>
      <c r="J31" s="2" t="s">
        <v>174</v>
      </c>
      <c r="K31" s="3">
        <v>0</v>
      </c>
      <c r="L31" s="3">
        <v>0</v>
      </c>
      <c r="M31" s="2"/>
      <c r="N31" s="2" t="s">
        <v>216</v>
      </c>
      <c r="O31" s="2"/>
      <c r="P31" s="2"/>
      <c r="Q31" s="2"/>
      <c r="R31" s="3">
        <v>150</v>
      </c>
    </row>
    <row r="32" spans="1:18">
      <c r="A32" s="2" t="s">
        <v>221</v>
      </c>
      <c r="B32" s="2" t="s">
        <v>169</v>
      </c>
      <c r="C32" s="2" t="s">
        <v>170</v>
      </c>
      <c r="D32" s="2" t="s">
        <v>215</v>
      </c>
      <c r="E32" s="2" t="s">
        <v>26</v>
      </c>
      <c r="F32" s="2"/>
      <c r="G32" s="2"/>
      <c r="H32" s="2"/>
      <c r="I32" s="2"/>
      <c r="J32" s="2" t="s">
        <v>174</v>
      </c>
      <c r="K32" s="3">
        <v>0</v>
      </c>
      <c r="L32" s="3">
        <v>0</v>
      </c>
      <c r="M32" s="2"/>
      <c r="N32" s="2" t="s">
        <v>216</v>
      </c>
      <c r="O32" s="2"/>
      <c r="P32" s="2"/>
      <c r="Q32" s="2"/>
      <c r="R32" s="3">
        <v>150</v>
      </c>
    </row>
    <row r="33" spans="1:18">
      <c r="A33" s="2" t="s">
        <v>222</v>
      </c>
      <c r="B33" s="2" t="s">
        <v>169</v>
      </c>
      <c r="C33" s="2" t="s">
        <v>170</v>
      </c>
      <c r="D33" s="2" t="s">
        <v>215</v>
      </c>
      <c r="E33" s="2" t="s">
        <v>26</v>
      </c>
      <c r="F33" s="2"/>
      <c r="G33" s="2"/>
      <c r="H33" s="2"/>
      <c r="I33" s="2"/>
      <c r="J33" s="2" t="s">
        <v>174</v>
      </c>
      <c r="K33" s="3">
        <v>0</v>
      </c>
      <c r="L33" s="3">
        <v>0</v>
      </c>
      <c r="M33" s="2"/>
      <c r="N33" s="2" t="s">
        <v>216</v>
      </c>
      <c r="O33" s="2"/>
      <c r="P33" s="2"/>
      <c r="Q33" s="2"/>
      <c r="R33" s="3">
        <v>150</v>
      </c>
    </row>
    <row r="34" spans="1:18">
      <c r="A34" s="2" t="s">
        <v>223</v>
      </c>
      <c r="B34" s="2" t="s">
        <v>169</v>
      </c>
      <c r="C34" s="2" t="s">
        <v>170</v>
      </c>
      <c r="D34" s="2" t="s">
        <v>215</v>
      </c>
      <c r="E34" s="2" t="s">
        <v>26</v>
      </c>
      <c r="F34" s="2"/>
      <c r="G34" s="2"/>
      <c r="H34" s="2"/>
      <c r="I34" s="2"/>
      <c r="J34" s="2" t="s">
        <v>174</v>
      </c>
      <c r="K34" s="3">
        <v>0</v>
      </c>
      <c r="L34" s="3">
        <v>0</v>
      </c>
      <c r="M34" s="2"/>
      <c r="N34" s="2" t="s">
        <v>216</v>
      </c>
      <c r="O34" s="2"/>
      <c r="P34" s="2"/>
      <c r="Q34" s="2"/>
      <c r="R34" s="3">
        <v>150</v>
      </c>
    </row>
    <row r="35" spans="1:18">
      <c r="A35" s="2" t="s">
        <v>224</v>
      </c>
      <c r="B35" s="2" t="s">
        <v>169</v>
      </c>
      <c r="C35" s="2" t="s">
        <v>170</v>
      </c>
      <c r="D35" s="2" t="s">
        <v>215</v>
      </c>
      <c r="E35" s="2" t="s">
        <v>26</v>
      </c>
      <c r="F35" s="2"/>
      <c r="G35" s="2"/>
      <c r="H35" s="2"/>
      <c r="I35" s="2"/>
      <c r="J35" s="2" t="s">
        <v>174</v>
      </c>
      <c r="K35" s="3">
        <v>0</v>
      </c>
      <c r="L35" s="3">
        <v>0</v>
      </c>
      <c r="M35" s="2"/>
      <c r="N35" s="2" t="s">
        <v>216</v>
      </c>
      <c r="O35" s="2"/>
      <c r="P35" s="2"/>
      <c r="Q35" s="2"/>
      <c r="R35" s="3">
        <v>150</v>
      </c>
    </row>
  </sheetData>
  <autoFilter ref="A1:R35"/>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L27"/>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44.7109375" customWidth="1"/>
    <col min="4" max="4" width="24.7109375" customWidth="1"/>
    <col min="5" max="5" width="44.7109375" customWidth="1"/>
    <col min="6" max="6" width="24.7109375" customWidth="1"/>
    <col min="7" max="7" width="44.7109375" customWidth="1"/>
    <col min="8" max="8" width="36.7109375" customWidth="1"/>
    <col min="9" max="9" width="18.7109375" customWidth="1"/>
    <col min="10" max="10" width="66.7109375" customWidth="1"/>
    <col min="11" max="11" width="12.7109375" customWidth="1"/>
    <col min="12" max="12" width="14.7109375" customWidth="1"/>
  </cols>
  <sheetData>
    <row r="1" spans="1:12">
      <c r="A1" s="1" t="s">
        <v>1</v>
      </c>
      <c r="B1" s="1" t="s">
        <v>154</v>
      </c>
      <c r="C1" s="1" t="s">
        <v>225</v>
      </c>
      <c r="D1" s="1" t="s">
        <v>156</v>
      </c>
      <c r="E1" s="1" t="s">
        <v>226</v>
      </c>
      <c r="F1" s="1" t="s">
        <v>158</v>
      </c>
      <c r="G1" s="1" t="s">
        <v>227</v>
      </c>
      <c r="H1" s="1" t="s">
        <v>159</v>
      </c>
      <c r="I1" s="1" t="s">
        <v>112</v>
      </c>
      <c r="J1" s="1" t="s">
        <v>163</v>
      </c>
      <c r="K1" s="1" t="s">
        <v>161</v>
      </c>
      <c r="L1" s="1" t="s">
        <v>162</v>
      </c>
    </row>
    <row r="2" spans="1:12">
      <c r="A2" s="2" t="s">
        <v>176</v>
      </c>
      <c r="B2" s="2" t="s">
        <v>177</v>
      </c>
      <c r="C2" s="2" t="s">
        <v>228</v>
      </c>
      <c r="D2" s="2" t="s">
        <v>179</v>
      </c>
      <c r="E2" s="2" t="s">
        <v>229</v>
      </c>
      <c r="F2" s="2" t="s">
        <v>180</v>
      </c>
      <c r="G2" s="2" t="s">
        <v>230</v>
      </c>
      <c r="H2" s="2"/>
      <c r="I2" s="2" t="s">
        <v>174</v>
      </c>
      <c r="J2" s="2" t="s">
        <v>181</v>
      </c>
      <c r="K2" s="3">
        <v>0</v>
      </c>
      <c r="L2" s="2"/>
    </row>
    <row r="3" spans="1:12">
      <c r="A3" s="2" t="s">
        <v>212</v>
      </c>
      <c r="B3" s="2" t="s">
        <v>213</v>
      </c>
      <c r="C3" s="2" t="s">
        <v>231</v>
      </c>
      <c r="D3" s="2"/>
      <c r="E3" s="2"/>
      <c r="F3" s="2"/>
      <c r="G3" s="2"/>
      <c r="H3" s="2"/>
      <c r="I3" s="2" t="s">
        <v>174</v>
      </c>
      <c r="J3" s="2" t="s">
        <v>190</v>
      </c>
      <c r="K3" s="3">
        <v>0</v>
      </c>
      <c r="L3" s="2"/>
    </row>
    <row r="4" spans="1:12">
      <c r="A4" s="2" t="s">
        <v>186</v>
      </c>
      <c r="B4" s="2" t="s">
        <v>187</v>
      </c>
      <c r="C4" s="2" t="s">
        <v>232</v>
      </c>
      <c r="D4" s="2"/>
      <c r="E4" s="2"/>
      <c r="F4" s="2"/>
      <c r="G4" s="2"/>
      <c r="H4" s="2"/>
      <c r="I4" s="2" t="s">
        <v>174</v>
      </c>
      <c r="J4" s="2" t="s">
        <v>185</v>
      </c>
      <c r="K4" s="3">
        <v>0</v>
      </c>
      <c r="L4" s="2"/>
    </row>
    <row r="5" spans="1:12">
      <c r="A5" s="2" t="s">
        <v>202</v>
      </c>
      <c r="B5" s="2" t="s">
        <v>203</v>
      </c>
      <c r="C5" s="2" t="s">
        <v>233</v>
      </c>
      <c r="D5" s="2" t="s">
        <v>204</v>
      </c>
      <c r="E5" s="2" t="s">
        <v>234</v>
      </c>
      <c r="F5" s="2"/>
      <c r="G5" s="2"/>
      <c r="H5" s="2"/>
      <c r="I5" s="2" t="s">
        <v>174</v>
      </c>
      <c r="J5" s="2" t="s">
        <v>205</v>
      </c>
      <c r="K5" s="3">
        <v>0</v>
      </c>
      <c r="L5" s="2"/>
    </row>
    <row r="6" spans="1:12">
      <c r="A6" s="2" t="s">
        <v>210</v>
      </c>
      <c r="B6" s="2" t="s">
        <v>211</v>
      </c>
      <c r="C6" s="2" t="s">
        <v>235</v>
      </c>
      <c r="D6" s="2"/>
      <c r="E6" s="2"/>
      <c r="F6" s="2"/>
      <c r="G6" s="2"/>
      <c r="H6" s="2"/>
      <c r="I6" s="2" t="s">
        <v>174</v>
      </c>
      <c r="J6" s="2" t="s">
        <v>190</v>
      </c>
      <c r="K6" s="3">
        <v>0</v>
      </c>
      <c r="L6" s="2"/>
    </row>
    <row r="7" spans="1:12">
      <c r="A7" s="2" t="s">
        <v>208</v>
      </c>
      <c r="B7" s="2" t="s">
        <v>209</v>
      </c>
      <c r="C7" s="2" t="s">
        <v>236</v>
      </c>
      <c r="D7" s="2"/>
      <c r="E7" s="2"/>
      <c r="F7" s="2"/>
      <c r="G7" s="2"/>
      <c r="H7" s="2"/>
      <c r="I7" s="2" t="s">
        <v>174</v>
      </c>
      <c r="J7" s="2" t="s">
        <v>190</v>
      </c>
      <c r="K7" s="3">
        <v>0</v>
      </c>
      <c r="L7" s="2"/>
    </row>
    <row r="8" spans="1:12">
      <c r="A8" s="2" t="s">
        <v>182</v>
      </c>
      <c r="B8" s="2" t="s">
        <v>183</v>
      </c>
      <c r="C8" s="2" t="s">
        <v>237</v>
      </c>
      <c r="D8" s="2"/>
      <c r="E8" s="2"/>
      <c r="F8" s="2"/>
      <c r="G8" s="2"/>
      <c r="H8" s="2"/>
      <c r="I8" s="2" t="s">
        <v>174</v>
      </c>
      <c r="J8" s="2" t="s">
        <v>185</v>
      </c>
      <c r="K8" s="3">
        <v>0</v>
      </c>
      <c r="L8" s="2"/>
    </row>
    <row r="9" spans="1:12">
      <c r="A9" s="2" t="s">
        <v>168</v>
      </c>
      <c r="B9" s="2" t="s">
        <v>171</v>
      </c>
      <c r="C9" s="2" t="s">
        <v>238</v>
      </c>
      <c r="D9" s="2" t="s">
        <v>173</v>
      </c>
      <c r="E9" s="2" t="s">
        <v>239</v>
      </c>
      <c r="F9" s="2"/>
      <c r="G9" s="2"/>
      <c r="H9" s="2"/>
      <c r="I9" s="2" t="s">
        <v>174</v>
      </c>
      <c r="J9" s="2" t="s">
        <v>175</v>
      </c>
      <c r="K9" s="3">
        <v>0</v>
      </c>
      <c r="L9" s="2"/>
    </row>
    <row r="10" spans="1:12">
      <c r="A10" s="2" t="s">
        <v>188</v>
      </c>
      <c r="B10" s="2" t="s">
        <v>189</v>
      </c>
      <c r="C10" s="2" t="s">
        <v>240</v>
      </c>
      <c r="D10" s="2"/>
      <c r="E10" s="2"/>
      <c r="F10" s="2"/>
      <c r="G10" s="2"/>
      <c r="H10" s="2"/>
      <c r="I10" s="2" t="s">
        <v>174</v>
      </c>
      <c r="J10" s="2" t="s">
        <v>190</v>
      </c>
      <c r="K10" s="3">
        <v>0</v>
      </c>
      <c r="L10" s="2"/>
    </row>
    <row r="11" spans="1:12">
      <c r="A11" s="2" t="s">
        <v>206</v>
      </c>
      <c r="B11" s="2" t="s">
        <v>207</v>
      </c>
      <c r="C11" s="2" t="s">
        <v>241</v>
      </c>
      <c r="D11" s="2"/>
      <c r="E11" s="2"/>
      <c r="F11" s="2"/>
      <c r="G11" s="2"/>
      <c r="H11" s="2"/>
      <c r="I11" s="2" t="s">
        <v>174</v>
      </c>
      <c r="J11" s="2" t="s">
        <v>190</v>
      </c>
      <c r="K11" s="3">
        <v>0</v>
      </c>
      <c r="L11" s="2"/>
    </row>
    <row r="12" spans="1:12">
      <c r="A12" s="2" t="s">
        <v>242</v>
      </c>
      <c r="B12" s="2" t="s">
        <v>243</v>
      </c>
      <c r="C12" s="2" t="s">
        <v>244</v>
      </c>
      <c r="D12" s="2"/>
      <c r="E12" s="2"/>
      <c r="F12" s="2"/>
      <c r="G12" s="2"/>
      <c r="H12" s="2"/>
      <c r="I12" s="2" t="s">
        <v>174</v>
      </c>
      <c r="J12" s="2" t="s">
        <v>245</v>
      </c>
      <c r="K12" s="3">
        <v>0</v>
      </c>
      <c r="L12" s="2"/>
    </row>
    <row r="13" spans="1:12">
      <c r="A13" s="2" t="s">
        <v>196</v>
      </c>
      <c r="B13" s="2" t="s">
        <v>197</v>
      </c>
      <c r="C13" s="2" t="s">
        <v>246</v>
      </c>
      <c r="D13" s="2"/>
      <c r="E13" s="2"/>
      <c r="F13" s="2"/>
      <c r="G13" s="2"/>
      <c r="H13" s="2"/>
      <c r="I13" s="2" t="s">
        <v>174</v>
      </c>
      <c r="J13" s="2" t="s">
        <v>190</v>
      </c>
      <c r="K13" s="3">
        <v>0</v>
      </c>
      <c r="L13" s="2"/>
    </row>
    <row r="14" spans="1:12">
      <c r="A14" s="2" t="s">
        <v>191</v>
      </c>
      <c r="B14" s="2" t="s">
        <v>192</v>
      </c>
      <c r="C14" s="2" t="s">
        <v>247</v>
      </c>
      <c r="D14" s="2"/>
      <c r="E14" s="2"/>
      <c r="F14" s="2"/>
      <c r="G14" s="2"/>
      <c r="H14" s="2"/>
      <c r="I14" s="2" t="s">
        <v>174</v>
      </c>
      <c r="J14" s="2" t="s">
        <v>190</v>
      </c>
      <c r="K14" s="3">
        <v>0</v>
      </c>
      <c r="L14" s="2"/>
    </row>
    <row r="15" spans="1:12">
      <c r="A15" s="2" t="s">
        <v>198</v>
      </c>
      <c r="B15" s="2" t="s">
        <v>199</v>
      </c>
      <c r="C15" s="2" t="s">
        <v>248</v>
      </c>
      <c r="D15" s="2"/>
      <c r="E15" s="2"/>
      <c r="F15" s="2"/>
      <c r="G15" s="2"/>
      <c r="H15" s="2"/>
      <c r="I15" s="2" t="s">
        <v>174</v>
      </c>
      <c r="J15" s="2" t="s">
        <v>190</v>
      </c>
      <c r="K15" s="3">
        <v>0</v>
      </c>
      <c r="L15" s="2"/>
    </row>
    <row r="16" spans="1:12">
      <c r="A16" s="2" t="s">
        <v>200</v>
      </c>
      <c r="B16" s="2" t="s">
        <v>201</v>
      </c>
      <c r="C16" s="2" t="s">
        <v>249</v>
      </c>
      <c r="D16" s="2"/>
      <c r="E16" s="2"/>
      <c r="F16" s="2"/>
      <c r="G16" s="2"/>
      <c r="H16" s="2"/>
      <c r="I16" s="2" t="s">
        <v>174</v>
      </c>
      <c r="J16" s="2" t="s">
        <v>190</v>
      </c>
      <c r="K16" s="3">
        <v>0</v>
      </c>
      <c r="L16" s="2"/>
    </row>
    <row r="17" spans="1:12">
      <c r="A17" s="2" t="s">
        <v>194</v>
      </c>
      <c r="B17" s="2" t="s">
        <v>195</v>
      </c>
      <c r="C17" s="2" t="s">
        <v>250</v>
      </c>
      <c r="D17" s="2"/>
      <c r="E17" s="2"/>
      <c r="F17" s="2"/>
      <c r="G17" s="2"/>
      <c r="H17" s="2"/>
      <c r="I17" s="2" t="s">
        <v>174</v>
      </c>
      <c r="J17" s="2" t="s">
        <v>190</v>
      </c>
      <c r="K17" s="3">
        <v>0</v>
      </c>
      <c r="L17" s="2"/>
    </row>
    <row r="18" spans="1:12">
      <c r="A18" s="2" t="s">
        <v>214</v>
      </c>
      <c r="B18" s="2" t="s">
        <v>215</v>
      </c>
      <c r="C18" s="2" t="s">
        <v>251</v>
      </c>
      <c r="D18" s="2"/>
      <c r="E18" s="2"/>
      <c r="F18" s="2"/>
      <c r="G18" s="2"/>
      <c r="H18" s="2"/>
      <c r="I18" s="2" t="s">
        <v>174</v>
      </c>
      <c r="J18" s="2" t="s">
        <v>216</v>
      </c>
      <c r="K18" s="3">
        <v>0</v>
      </c>
      <c r="L18" s="2"/>
    </row>
    <row r="19" spans="1:12">
      <c r="A19" s="2" t="s">
        <v>217</v>
      </c>
      <c r="B19" s="2" t="s">
        <v>215</v>
      </c>
      <c r="C19" s="2" t="s">
        <v>252</v>
      </c>
      <c r="D19" s="2"/>
      <c r="E19" s="2"/>
      <c r="F19" s="2"/>
      <c r="G19" s="2"/>
      <c r="H19" s="2"/>
      <c r="I19" s="2" t="s">
        <v>174</v>
      </c>
      <c r="J19" s="2" t="s">
        <v>216</v>
      </c>
      <c r="K19" s="3">
        <v>0</v>
      </c>
      <c r="L19" s="2"/>
    </row>
    <row r="20" spans="1:12">
      <c r="A20" s="2" t="s">
        <v>218</v>
      </c>
      <c r="B20" s="2" t="s">
        <v>215</v>
      </c>
      <c r="C20" s="2" t="s">
        <v>253</v>
      </c>
      <c r="D20" s="2"/>
      <c r="E20" s="2"/>
      <c r="F20" s="2"/>
      <c r="G20" s="2"/>
      <c r="H20" s="2"/>
      <c r="I20" s="2" t="s">
        <v>174</v>
      </c>
      <c r="J20" s="2" t="s">
        <v>216</v>
      </c>
      <c r="K20" s="3">
        <v>0</v>
      </c>
      <c r="L20" s="2"/>
    </row>
    <row r="21" spans="1:12">
      <c r="A21" s="2" t="s">
        <v>219</v>
      </c>
      <c r="B21" s="2" t="s">
        <v>215</v>
      </c>
      <c r="C21" s="2" t="s">
        <v>254</v>
      </c>
      <c r="D21" s="2"/>
      <c r="E21" s="2"/>
      <c r="F21" s="2"/>
      <c r="G21" s="2"/>
      <c r="H21" s="2"/>
      <c r="I21" s="2" t="s">
        <v>174</v>
      </c>
      <c r="J21" s="2" t="s">
        <v>216</v>
      </c>
      <c r="K21" s="3">
        <v>0</v>
      </c>
      <c r="L21" s="2"/>
    </row>
    <row r="22" spans="1:12">
      <c r="A22" s="2" t="s">
        <v>220</v>
      </c>
      <c r="B22" s="2" t="s">
        <v>215</v>
      </c>
      <c r="C22" s="2" t="s">
        <v>255</v>
      </c>
      <c r="D22" s="2"/>
      <c r="E22" s="2"/>
      <c r="F22" s="2"/>
      <c r="G22" s="2"/>
      <c r="H22" s="2"/>
      <c r="I22" s="2" t="s">
        <v>174</v>
      </c>
      <c r="J22" s="2" t="s">
        <v>216</v>
      </c>
      <c r="K22" s="3">
        <v>0</v>
      </c>
      <c r="L22" s="2"/>
    </row>
    <row r="23" spans="1:12">
      <c r="A23" s="2" t="s">
        <v>221</v>
      </c>
      <c r="B23" s="2" t="s">
        <v>215</v>
      </c>
      <c r="C23" s="2" t="s">
        <v>256</v>
      </c>
      <c r="D23" s="2"/>
      <c r="E23" s="2"/>
      <c r="F23" s="2"/>
      <c r="G23" s="2"/>
      <c r="H23" s="2"/>
      <c r="I23" s="2" t="s">
        <v>174</v>
      </c>
      <c r="J23" s="2" t="s">
        <v>216</v>
      </c>
      <c r="K23" s="3">
        <v>0</v>
      </c>
      <c r="L23" s="2"/>
    </row>
    <row r="24" spans="1:12">
      <c r="A24" s="2" t="s">
        <v>222</v>
      </c>
      <c r="B24" s="2" t="s">
        <v>215</v>
      </c>
      <c r="C24" s="2" t="s">
        <v>257</v>
      </c>
      <c r="D24" s="2"/>
      <c r="E24" s="2"/>
      <c r="F24" s="2"/>
      <c r="G24" s="2"/>
      <c r="H24" s="2"/>
      <c r="I24" s="2" t="s">
        <v>174</v>
      </c>
      <c r="J24" s="2" t="s">
        <v>216</v>
      </c>
      <c r="K24" s="3">
        <v>0</v>
      </c>
      <c r="L24" s="2"/>
    </row>
    <row r="25" spans="1:12">
      <c r="A25" s="2" t="s">
        <v>223</v>
      </c>
      <c r="B25" s="2" t="s">
        <v>215</v>
      </c>
      <c r="C25" s="2" t="s">
        <v>258</v>
      </c>
      <c r="D25" s="2"/>
      <c r="E25" s="2"/>
      <c r="F25" s="2"/>
      <c r="G25" s="2"/>
      <c r="H25" s="2"/>
      <c r="I25" s="2" t="s">
        <v>174</v>
      </c>
      <c r="J25" s="2" t="s">
        <v>216</v>
      </c>
      <c r="K25" s="3">
        <v>0</v>
      </c>
      <c r="L25" s="2"/>
    </row>
    <row r="26" spans="1:12">
      <c r="A26" s="2" t="s">
        <v>224</v>
      </c>
      <c r="B26" s="2" t="s">
        <v>215</v>
      </c>
      <c r="C26" s="2" t="s">
        <v>259</v>
      </c>
      <c r="D26" s="2"/>
      <c r="E26" s="2"/>
      <c r="F26" s="2"/>
      <c r="G26" s="2"/>
      <c r="H26" s="2"/>
      <c r="I26" s="2" t="s">
        <v>174</v>
      </c>
      <c r="J26" s="2" t="s">
        <v>216</v>
      </c>
      <c r="K26" s="3">
        <v>0</v>
      </c>
      <c r="L26" s="2"/>
    </row>
    <row r="27" spans="1:12">
      <c r="A27" s="2" t="s">
        <v>260</v>
      </c>
      <c r="B27" s="2" t="s">
        <v>215</v>
      </c>
      <c r="C27" s="2" t="s">
        <v>261</v>
      </c>
      <c r="D27" s="2"/>
      <c r="E27" s="2"/>
      <c r="F27" s="2"/>
      <c r="G27" s="2"/>
      <c r="H27" s="2"/>
      <c r="I27" s="2" t="s">
        <v>262</v>
      </c>
      <c r="J27" s="2" t="s">
        <v>263</v>
      </c>
      <c r="K27" s="3">
        <v>0</v>
      </c>
      <c r="L2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I22"/>
  <sheetViews>
    <sheetView workbookViewId="0">
      <pane ySplit="1" topLeftCell="A2" activePane="bottomLeft" state="frozen"/>
      <selection pane="bottomLeft"/>
    </sheetView>
  </sheetViews>
  <sheetFormatPr defaultRowHeight="15"/>
  <cols>
    <col min="1" max="1" width="32.7109375" customWidth="1"/>
    <col min="2" max="2" width="18.7109375" customWidth="1"/>
    <col min="3" max="3" width="24.7109375" customWidth="1"/>
    <col min="4" max="4" width="34.7109375" customWidth="1"/>
    <col min="5" max="6" width="12.7109375" customWidth="1"/>
    <col min="7" max="7" width="14.7109375" customWidth="1"/>
    <col min="8" max="8" width="12.7109375" customWidth="1"/>
    <col min="9" max="9" width="64.7109375" customWidth="1"/>
  </cols>
  <sheetData>
    <row r="1" spans="1:9">
      <c r="A1" s="4" t="s">
        <v>1</v>
      </c>
      <c r="B1" s="4" t="s">
        <v>112</v>
      </c>
      <c r="C1" s="4" t="s">
        <v>154</v>
      </c>
      <c r="D1" s="4" t="s">
        <v>159</v>
      </c>
      <c r="E1" s="4" t="s">
        <v>160</v>
      </c>
      <c r="F1" s="4" t="s">
        <v>161</v>
      </c>
      <c r="G1" s="4" t="s">
        <v>264</v>
      </c>
      <c r="H1" s="4" t="s">
        <v>164</v>
      </c>
      <c r="I1" s="4" t="s">
        <v>163</v>
      </c>
    </row>
    <row r="2" spans="1:9">
      <c r="A2" s="2" t="s">
        <v>265</v>
      </c>
      <c r="B2" s="2" t="s">
        <v>27</v>
      </c>
      <c r="C2" s="2"/>
      <c r="D2" s="2"/>
      <c r="E2" s="3">
        <v>0</v>
      </c>
      <c r="F2" s="3">
        <v>0</v>
      </c>
      <c r="G2" s="2" t="s">
        <v>266</v>
      </c>
      <c r="H2" s="2"/>
      <c r="I2" s="2" t="s">
        <v>267</v>
      </c>
    </row>
    <row r="3" spans="1:9">
      <c r="A3" s="2" t="s">
        <v>268</v>
      </c>
      <c r="B3" s="2" t="s">
        <v>27</v>
      </c>
      <c r="C3" s="2"/>
      <c r="D3" s="2"/>
      <c r="E3" s="3">
        <v>0</v>
      </c>
      <c r="F3" s="3">
        <v>0</v>
      </c>
      <c r="G3" s="2" t="s">
        <v>269</v>
      </c>
      <c r="H3" s="2"/>
      <c r="I3" s="2"/>
    </row>
    <row r="4" spans="1:9">
      <c r="A4" s="2" t="s">
        <v>270</v>
      </c>
      <c r="B4" s="2" t="s">
        <v>27</v>
      </c>
      <c r="C4" s="2"/>
      <c r="D4" s="2"/>
      <c r="E4" s="3">
        <v>0</v>
      </c>
      <c r="F4" s="3">
        <v>0</v>
      </c>
      <c r="G4" s="2" t="s">
        <v>269</v>
      </c>
      <c r="H4" s="2"/>
      <c r="I4" s="2"/>
    </row>
    <row r="5" spans="1:9">
      <c r="A5" s="2" t="s">
        <v>242</v>
      </c>
      <c r="B5" s="2" t="s">
        <v>174</v>
      </c>
      <c r="C5" s="2" t="s">
        <v>243</v>
      </c>
      <c r="D5" s="2"/>
      <c r="E5" s="3">
        <v>0</v>
      </c>
      <c r="F5" s="3">
        <v>0</v>
      </c>
      <c r="G5" s="2" t="s">
        <v>269</v>
      </c>
      <c r="H5" s="2"/>
      <c r="I5" s="2" t="s">
        <v>245</v>
      </c>
    </row>
    <row r="6" spans="1:9">
      <c r="A6" s="2" t="s">
        <v>271</v>
      </c>
      <c r="B6" s="2" t="s">
        <v>27</v>
      </c>
      <c r="C6" s="2"/>
      <c r="D6" s="2"/>
      <c r="E6" s="3">
        <v>0</v>
      </c>
      <c r="F6" s="3">
        <v>0</v>
      </c>
      <c r="G6" s="2" t="s">
        <v>269</v>
      </c>
      <c r="H6" s="2"/>
      <c r="I6" s="2"/>
    </row>
    <row r="7" spans="1:9">
      <c r="A7" s="2" t="s">
        <v>272</v>
      </c>
      <c r="B7" s="2" t="s">
        <v>27</v>
      </c>
      <c r="C7" s="2"/>
      <c r="D7" s="2"/>
      <c r="E7" s="3">
        <v>0</v>
      </c>
      <c r="F7" s="3">
        <v>0</v>
      </c>
      <c r="G7" s="2" t="s">
        <v>269</v>
      </c>
      <c r="H7" s="2"/>
      <c r="I7" s="2"/>
    </row>
    <row r="8" spans="1:9">
      <c r="A8" s="2" t="s">
        <v>273</v>
      </c>
      <c r="B8" s="2" t="s">
        <v>27</v>
      </c>
      <c r="C8" s="2"/>
      <c r="D8" s="2"/>
      <c r="E8" s="3">
        <v>0</v>
      </c>
      <c r="F8" s="3">
        <v>0</v>
      </c>
      <c r="G8" s="2" t="s">
        <v>269</v>
      </c>
      <c r="H8" s="2"/>
      <c r="I8" s="2"/>
    </row>
    <row r="9" spans="1:9">
      <c r="A9" s="2" t="s">
        <v>274</v>
      </c>
      <c r="B9" s="2" t="s">
        <v>27</v>
      </c>
      <c r="C9" s="2"/>
      <c r="D9" s="2"/>
      <c r="E9" s="3">
        <v>0</v>
      </c>
      <c r="F9" s="3">
        <v>0</v>
      </c>
      <c r="G9" s="2" t="s">
        <v>178</v>
      </c>
      <c r="H9" s="2"/>
      <c r="I9" s="2"/>
    </row>
    <row r="10" spans="1:9">
      <c r="A10" s="2" t="s">
        <v>275</v>
      </c>
      <c r="B10" s="2" t="s">
        <v>27</v>
      </c>
      <c r="C10" s="2"/>
      <c r="D10" s="2"/>
      <c r="E10" s="3">
        <v>0</v>
      </c>
      <c r="F10" s="3">
        <v>0</v>
      </c>
      <c r="G10" s="2" t="s">
        <v>193</v>
      </c>
      <c r="H10" s="2"/>
      <c r="I10" s="2" t="s">
        <v>276</v>
      </c>
    </row>
    <row r="11" spans="1:9">
      <c r="A11" s="2" t="s">
        <v>277</v>
      </c>
      <c r="B11" s="2" t="s">
        <v>27</v>
      </c>
      <c r="C11" s="2"/>
      <c r="D11" s="2"/>
      <c r="E11" s="3">
        <v>0</v>
      </c>
      <c r="F11" s="3">
        <v>0</v>
      </c>
      <c r="G11" s="2" t="s">
        <v>178</v>
      </c>
      <c r="H11" s="2"/>
      <c r="I11" s="2"/>
    </row>
    <row r="12" spans="1:9">
      <c r="A12" s="2" t="s">
        <v>278</v>
      </c>
      <c r="B12" s="2" t="s">
        <v>27</v>
      </c>
      <c r="C12" s="2"/>
      <c r="D12" s="2"/>
      <c r="E12" s="3">
        <v>0</v>
      </c>
      <c r="F12" s="3">
        <v>0</v>
      </c>
      <c r="G12" s="2" t="s">
        <v>184</v>
      </c>
      <c r="H12" s="2"/>
      <c r="I12" s="2"/>
    </row>
    <row r="13" spans="1:9">
      <c r="A13" s="2" t="s">
        <v>279</v>
      </c>
      <c r="B13" s="2" t="s">
        <v>27</v>
      </c>
      <c r="C13" s="2"/>
      <c r="D13" s="2"/>
      <c r="E13" s="3">
        <v>0</v>
      </c>
      <c r="F13" s="3">
        <v>0</v>
      </c>
      <c r="G13" s="2" t="s">
        <v>172</v>
      </c>
      <c r="H13" s="2"/>
      <c r="I13" s="2"/>
    </row>
    <row r="14" spans="1:9">
      <c r="A14" s="2" t="s">
        <v>280</v>
      </c>
      <c r="B14" s="2" t="s">
        <v>27</v>
      </c>
      <c r="C14" s="2"/>
      <c r="D14" s="2"/>
      <c r="E14" s="3">
        <v>0</v>
      </c>
      <c r="F14" s="3">
        <v>0</v>
      </c>
      <c r="G14" s="2" t="s">
        <v>266</v>
      </c>
      <c r="H14" s="2"/>
      <c r="I14" s="2" t="s">
        <v>267</v>
      </c>
    </row>
    <row r="15" spans="1:9">
      <c r="A15" s="2" t="s">
        <v>281</v>
      </c>
      <c r="B15" s="2" t="s">
        <v>27</v>
      </c>
      <c r="C15" s="2"/>
      <c r="D15" s="2"/>
      <c r="E15" s="3">
        <v>0</v>
      </c>
      <c r="F15" s="3">
        <v>0</v>
      </c>
      <c r="G15" s="2" t="s">
        <v>178</v>
      </c>
      <c r="H15" s="2"/>
      <c r="I15" s="2"/>
    </row>
    <row r="16" spans="1:9">
      <c r="A16" s="2" t="s">
        <v>282</v>
      </c>
      <c r="B16" s="2" t="s">
        <v>27</v>
      </c>
      <c r="C16" s="2"/>
      <c r="D16" s="2"/>
      <c r="E16" s="3">
        <v>0</v>
      </c>
      <c r="F16" s="3">
        <v>0</v>
      </c>
      <c r="G16" s="2" t="s">
        <v>178</v>
      </c>
      <c r="H16" s="2"/>
      <c r="I16" s="2"/>
    </row>
    <row r="17" spans="1:9">
      <c r="A17" s="2" t="s">
        <v>283</v>
      </c>
      <c r="B17" s="2" t="s">
        <v>27</v>
      </c>
      <c r="C17" s="2"/>
      <c r="D17" s="2"/>
      <c r="E17" s="3">
        <v>0</v>
      </c>
      <c r="F17" s="3">
        <v>0</v>
      </c>
      <c r="G17" s="2" t="s">
        <v>184</v>
      </c>
      <c r="H17" s="2"/>
      <c r="I17" s="2"/>
    </row>
    <row r="18" spans="1:9">
      <c r="A18" s="2" t="s">
        <v>284</v>
      </c>
      <c r="B18" s="2" t="s">
        <v>27</v>
      </c>
      <c r="C18" s="2"/>
      <c r="D18" s="2"/>
      <c r="E18" s="3">
        <v>0</v>
      </c>
      <c r="F18" s="3">
        <v>0</v>
      </c>
      <c r="G18" s="2" t="s">
        <v>266</v>
      </c>
      <c r="H18" s="2"/>
      <c r="I18" s="2" t="s">
        <v>267</v>
      </c>
    </row>
    <row r="19" spans="1:9">
      <c r="A19" s="2" t="s">
        <v>285</v>
      </c>
      <c r="B19" s="2" t="s">
        <v>27</v>
      </c>
      <c r="C19" s="2"/>
      <c r="D19" s="2"/>
      <c r="E19" s="3">
        <v>0</v>
      </c>
      <c r="F19" s="3">
        <v>0</v>
      </c>
      <c r="G19" s="2" t="s">
        <v>266</v>
      </c>
      <c r="H19" s="2"/>
      <c r="I19" s="2" t="s">
        <v>267</v>
      </c>
    </row>
    <row r="20" spans="1:9">
      <c r="A20" s="2" t="s">
        <v>286</v>
      </c>
      <c r="B20" s="2" t="s">
        <v>27</v>
      </c>
      <c r="C20" s="2"/>
      <c r="D20" s="2"/>
      <c r="E20" s="3">
        <v>0</v>
      </c>
      <c r="F20" s="3">
        <v>0</v>
      </c>
      <c r="G20" s="2" t="s">
        <v>266</v>
      </c>
      <c r="H20" s="2"/>
      <c r="I20" s="2" t="s">
        <v>267</v>
      </c>
    </row>
    <row r="21" spans="1:9">
      <c r="A21" s="2" t="s">
        <v>287</v>
      </c>
      <c r="B21" s="2" t="s">
        <v>27</v>
      </c>
      <c r="C21" s="2"/>
      <c r="D21" s="2"/>
      <c r="E21" s="3">
        <v>0</v>
      </c>
      <c r="F21" s="3">
        <v>0</v>
      </c>
      <c r="G21" s="2" t="s">
        <v>288</v>
      </c>
      <c r="H21" s="2"/>
      <c r="I21" s="2" t="s">
        <v>289</v>
      </c>
    </row>
    <row r="22" spans="1:9">
      <c r="A22" s="2" t="s">
        <v>290</v>
      </c>
      <c r="B22" s="2" t="s">
        <v>27</v>
      </c>
      <c r="C22" s="2"/>
      <c r="D22" s="2"/>
      <c r="E22" s="3">
        <v>0</v>
      </c>
      <c r="F22" s="3">
        <v>0</v>
      </c>
      <c r="G22" s="2" t="s">
        <v>266</v>
      </c>
      <c r="H22" s="2"/>
      <c r="I22" s="2" t="s">
        <v>267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F11"/>
  <sheetViews>
    <sheetView workbookViewId="0">
      <pane ySplit="1" topLeftCell="A2" activePane="bottomLeft" state="frozen"/>
      <selection pane="bottomLeft"/>
    </sheetView>
  </sheetViews>
  <sheetFormatPr defaultRowHeight="15"/>
  <cols>
    <col min="1" max="1" width="32.7109375" customWidth="1"/>
    <col min="2" max="2" width="62.7109375" customWidth="1"/>
    <col min="3" max="3" width="50.7109375" customWidth="1"/>
    <col min="4" max="4" width="14.7109375" customWidth="1"/>
    <col min="5" max="5" width="34.7109375" customWidth="1"/>
    <col min="6" max="6" width="58.7109375" customWidth="1"/>
  </cols>
  <sheetData>
    <row r="1" spans="1:6">
      <c r="A1" s="1" t="s">
        <v>1</v>
      </c>
      <c r="B1" s="1" t="s">
        <v>5</v>
      </c>
      <c r="C1" s="1" t="s">
        <v>12</v>
      </c>
      <c r="D1" s="1" t="s">
        <v>291</v>
      </c>
      <c r="E1" s="1" t="s">
        <v>292</v>
      </c>
      <c r="F1" s="1" t="s">
        <v>293</v>
      </c>
    </row>
    <row r="2" spans="1:6">
      <c r="A2" s="2" t="s">
        <v>15</v>
      </c>
      <c r="B2" s="2" t="s">
        <v>19</v>
      </c>
      <c r="C2" s="2" t="s">
        <v>25</v>
      </c>
      <c r="D2" s="2" t="s">
        <v>26</v>
      </c>
      <c r="E2" s="2" t="s">
        <v>20</v>
      </c>
      <c r="F2" s="2" t="s">
        <v>294</v>
      </c>
    </row>
    <row r="3" spans="1:6">
      <c r="A3" s="2" t="s">
        <v>28</v>
      </c>
      <c r="B3" s="2" t="s">
        <v>30</v>
      </c>
      <c r="C3" s="2" t="s">
        <v>36</v>
      </c>
      <c r="D3" s="2" t="s">
        <v>26</v>
      </c>
      <c r="E3" s="2" t="s">
        <v>31</v>
      </c>
      <c r="F3" s="2" t="s">
        <v>294</v>
      </c>
    </row>
    <row r="4" spans="1:6">
      <c r="A4" s="2" t="s">
        <v>37</v>
      </c>
      <c r="B4" s="2" t="s">
        <v>39</v>
      </c>
      <c r="C4" s="2" t="s">
        <v>45</v>
      </c>
      <c r="D4" s="2" t="s">
        <v>26</v>
      </c>
      <c r="E4" s="2" t="s">
        <v>40</v>
      </c>
      <c r="F4" s="2" t="s">
        <v>294</v>
      </c>
    </row>
    <row r="5" spans="1:6">
      <c r="A5" s="2" t="s">
        <v>46</v>
      </c>
      <c r="B5" s="2" t="s">
        <v>48</v>
      </c>
      <c r="C5" s="2" t="s">
        <v>54</v>
      </c>
      <c r="D5" s="2" t="s">
        <v>26</v>
      </c>
      <c r="E5" s="2" t="s">
        <v>49</v>
      </c>
      <c r="F5" s="2" t="s">
        <v>294</v>
      </c>
    </row>
    <row r="6" spans="1:6">
      <c r="A6" s="2" t="s">
        <v>55</v>
      </c>
      <c r="B6" s="2" t="s">
        <v>57</v>
      </c>
      <c r="C6" s="2" t="s">
        <v>63</v>
      </c>
      <c r="D6" s="2" t="s">
        <v>26</v>
      </c>
      <c r="E6" s="2" t="s">
        <v>58</v>
      </c>
      <c r="F6" s="2" t="s">
        <v>294</v>
      </c>
    </row>
    <row r="7" spans="1:6">
      <c r="A7" s="2" t="s">
        <v>64</v>
      </c>
      <c r="B7" s="2" t="s">
        <v>67</v>
      </c>
      <c r="C7" s="2" t="s">
        <v>73</v>
      </c>
      <c r="D7" s="2" t="s">
        <v>26</v>
      </c>
      <c r="E7" s="2" t="s">
        <v>68</v>
      </c>
      <c r="F7" s="2" t="s">
        <v>294</v>
      </c>
    </row>
    <row r="8" spans="1:6">
      <c r="A8" s="2" t="s">
        <v>74</v>
      </c>
      <c r="B8" s="2" t="s">
        <v>77</v>
      </c>
      <c r="C8" s="2" t="s">
        <v>83</v>
      </c>
      <c r="D8" s="2" t="s">
        <v>26</v>
      </c>
      <c r="E8" s="2" t="s">
        <v>78</v>
      </c>
      <c r="F8" s="2" t="s">
        <v>294</v>
      </c>
    </row>
    <row r="9" spans="1:6">
      <c r="A9" s="2" t="s">
        <v>84</v>
      </c>
      <c r="B9" s="2" t="s">
        <v>86</v>
      </c>
      <c r="C9" s="2" t="s">
        <v>92</v>
      </c>
      <c r="D9" s="2" t="s">
        <v>26</v>
      </c>
      <c r="E9" s="2" t="s">
        <v>87</v>
      </c>
      <c r="F9" s="2" t="s">
        <v>294</v>
      </c>
    </row>
    <row r="10" spans="1:6">
      <c r="A10" s="2" t="s">
        <v>93</v>
      </c>
      <c r="B10" s="2" t="s">
        <v>95</v>
      </c>
      <c r="C10" s="2" t="s">
        <v>101</v>
      </c>
      <c r="D10" s="2" t="s">
        <v>26</v>
      </c>
      <c r="E10" s="2" t="s">
        <v>96</v>
      </c>
      <c r="F10" s="2" t="s">
        <v>294</v>
      </c>
    </row>
    <row r="11" spans="1:6">
      <c r="A11" s="2" t="s">
        <v>102</v>
      </c>
      <c r="B11" s="2" t="s">
        <v>104</v>
      </c>
      <c r="C11" s="2" t="s">
        <v>110</v>
      </c>
      <c r="D11" s="2" t="s">
        <v>26</v>
      </c>
      <c r="E11" s="2" t="s">
        <v>105</v>
      </c>
      <c r="F11" s="2" t="s">
        <v>294</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9"/>
  <sheetViews>
    <sheetView workbookViewId="0"/>
  </sheetViews>
  <sheetFormatPr defaultRowHeight="15"/>
  <cols>
    <col min="1" max="1" width="22.7109375" customWidth="1"/>
    <col min="2" max="2" width="14.7109375" customWidth="1"/>
    <col min="3" max="3" width="4.7109375" customWidth="1"/>
    <col min="4" max="4" width="24.7109375" customWidth="1"/>
    <col min="5" max="5" width="16.7109375" customWidth="1"/>
    <col min="6" max="6" width="48.7109375" customWidth="1"/>
  </cols>
  <sheetData>
    <row r="1" spans="1:6" ht="28" customHeight="1">
      <c r="A1" s="5" t="s">
        <v>295</v>
      </c>
      <c r="B1" s="5"/>
      <c r="C1" s="5"/>
      <c r="D1" s="5"/>
      <c r="E1" s="5"/>
      <c r="F1" s="5"/>
    </row>
    <row r="3" spans="1:6">
      <c r="A3" s="1" t="s">
        <v>296</v>
      </c>
      <c r="B3" s="1" t="s">
        <v>297</v>
      </c>
      <c r="C3" s="2"/>
      <c r="D3" s="1" t="s">
        <v>298</v>
      </c>
      <c r="E3" s="1" t="s">
        <v>297</v>
      </c>
      <c r="F3" s="1" t="s">
        <v>299</v>
      </c>
    </row>
    <row r="4" spans="1:6">
      <c r="A4" s="2" t="s">
        <v>27</v>
      </c>
      <c r="B4" s="2">
        <f>COUNTIF(Pipeline!J:J,"Contact Ready")</f>
        <v>0</v>
      </c>
      <c r="D4" s="2" t="s">
        <v>303</v>
      </c>
      <c r="E4" s="3">
        <f>SUM(Pipeline!R:R)</f>
        <v>0</v>
      </c>
      <c r="F4" s="2" t="s">
        <v>304</v>
      </c>
    </row>
    <row r="5" spans="1:6">
      <c r="A5" s="2" t="s">
        <v>174</v>
      </c>
      <c r="B5" s="2">
        <f>COUNTIF(Pipeline!J:J,"Contacted")</f>
        <v>0</v>
      </c>
      <c r="D5" s="2" t="s">
        <v>305</v>
      </c>
      <c r="E5" s="3">
        <f>SUM(Pipeline!K:K)</f>
        <v>0</v>
      </c>
      <c r="F5" s="2" t="s">
        <v>306</v>
      </c>
    </row>
    <row r="6" spans="1:6">
      <c r="A6" s="2" t="s">
        <v>300</v>
      </c>
      <c r="B6" s="2">
        <f>COUNTIF(Pipeline!J:J,"Replied")</f>
        <v>0</v>
      </c>
      <c r="D6" s="2" t="s">
        <v>307</v>
      </c>
      <c r="E6" s="3">
        <f>SUM(Pipeline!L:L)</f>
        <v>0</v>
      </c>
      <c r="F6" s="2" t="s">
        <v>308</v>
      </c>
    </row>
    <row r="7" spans="1:6">
      <c r="A7" s="2" t="s">
        <v>301</v>
      </c>
      <c r="B7" s="2">
        <f>COUNTIF(Pipeline!J:J,"Negotiating")</f>
        <v>0</v>
      </c>
      <c r="D7" s="2" t="s">
        <v>309</v>
      </c>
      <c r="E7" s="6">
        <f>IFERROR(COUNTIF(Pipeline!J:J,"Replied")/COUNTIF(Pipeline!D:D,"&lt;&gt;"),0)</f>
        <v>0</v>
      </c>
      <c r="F7" s="2" t="s">
        <v>310</v>
      </c>
    </row>
    <row r="8" spans="1:6">
      <c r="A8" s="2" t="s">
        <v>302</v>
      </c>
      <c r="B8" s="2">
        <f>COUNTIF(Pipeline!J:J,"Won/Paid")</f>
        <v>0</v>
      </c>
      <c r="D8" s="2" t="s">
        <v>311</v>
      </c>
      <c r="E8" s="6">
        <f>IFERROR(COUNTIF(Pipeline!J:J,"Won/Paid")/COUNTIF(Pipeline!D:D,"&lt;&gt;"),0)</f>
        <v>0</v>
      </c>
      <c r="F8" s="2" t="s">
        <v>312</v>
      </c>
    </row>
    <row r="9" spans="1:6">
      <c r="A9" s="2" t="s">
        <v>162</v>
      </c>
      <c r="B9" s="2">
        <f>COUNTIF(Pipeline!J:J,"Fulfilled")</f>
        <v>0</v>
      </c>
    </row>
  </sheetData>
  <mergeCells count="1">
    <mergeCell ref="A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B12"/>
  <sheetViews>
    <sheetView workbookViewId="0"/>
  </sheetViews>
  <sheetFormatPr defaultRowHeight="15"/>
  <cols>
    <col min="1" max="1" width="28.7109375" customWidth="1"/>
    <col min="2" max="2" width="100.7109375" customWidth="1"/>
  </cols>
  <sheetData>
    <row r="1" spans="1:2">
      <c r="A1" s="1" t="s">
        <v>313</v>
      </c>
      <c r="B1" s="1" t="s">
        <v>314</v>
      </c>
    </row>
    <row r="2" spans="1:2">
      <c r="A2" s="2" t="s">
        <v>315</v>
      </c>
      <c r="B2" s="2" t="s">
        <v>316</v>
      </c>
    </row>
    <row r="3" spans="1:2">
      <c r="A3" s="2" t="s">
        <v>317</v>
      </c>
      <c r="B3" s="2" t="s">
        <v>318</v>
      </c>
    </row>
    <row r="4" spans="1:2">
      <c r="A4" s="2" t="s">
        <v>319</v>
      </c>
      <c r="B4" s="2" t="s">
        <v>320</v>
      </c>
    </row>
    <row r="5" spans="1:2">
      <c r="A5" s="2" t="s">
        <v>321</v>
      </c>
      <c r="B5" s="2" t="s">
        <v>322</v>
      </c>
    </row>
    <row r="6" spans="1:2">
      <c r="A6" s="2" t="s">
        <v>323</v>
      </c>
      <c r="B6" s="2" t="s">
        <v>324</v>
      </c>
    </row>
    <row r="7" spans="1:2">
      <c r="A7" s="2" t="s">
        <v>325</v>
      </c>
      <c r="B7" s="2" t="s">
        <v>326</v>
      </c>
    </row>
    <row r="8" spans="1:2">
      <c r="A8" s="2" t="s">
        <v>327</v>
      </c>
      <c r="B8" s="2" t="s">
        <v>328</v>
      </c>
    </row>
    <row r="9" spans="1:2">
      <c r="A9" s="2" t="s">
        <v>329</v>
      </c>
      <c r="B9" s="2" t="s">
        <v>330</v>
      </c>
    </row>
    <row r="10" spans="1:2">
      <c r="A10" s="2" t="s">
        <v>169</v>
      </c>
      <c r="B10" s="2" t="s">
        <v>331</v>
      </c>
    </row>
    <row r="11" spans="1:2">
      <c r="A11" s="2" t="s">
        <v>332</v>
      </c>
      <c r="B11" s="2" t="s">
        <v>333</v>
      </c>
    </row>
    <row r="12" spans="1:2">
      <c r="A12" s="2" t="s">
        <v>334</v>
      </c>
      <c r="B12" s="2" t="s">
        <v>335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20.7109375" customWidth="1"/>
    <col min="5" max="5" width="90.7109375" customWidth="1"/>
  </cols>
  <sheetData>
    <row r="1" spans="1:5">
      <c r="A1" s="1" t="s">
        <v>336</v>
      </c>
      <c r="B1" s="1" t="s">
        <v>337</v>
      </c>
      <c r="C1" s="1" t="s">
        <v>338</v>
      </c>
      <c r="D1" s="1" t="s">
        <v>339</v>
      </c>
      <c r="E1" s="1" t="s">
        <v>340</v>
      </c>
    </row>
    <row r="2" spans="1:5">
      <c r="A2" s="2" t="s">
        <v>26</v>
      </c>
      <c r="B2" s="2">
        <v>10</v>
      </c>
      <c r="C2" s="2">
        <v>26</v>
      </c>
      <c r="D2" s="2">
        <v>21</v>
      </c>
      <c r="E2" s="2" t="s">
        <v>341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New Lead Queue</vt:lpstr>
      <vt:lpstr>Scripts</vt:lpstr>
      <vt:lpstr>Pipeline</vt:lpstr>
      <vt:lpstr>Actual Outreach History</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2026-09-21T15:56:56Z</dcterms:created>
  <dcterms:modified xsi:type="dcterms:W3CDTF">2026-09-21T15:56:56Z</dcterms:modified>
</cp:coreProperties>
</file>