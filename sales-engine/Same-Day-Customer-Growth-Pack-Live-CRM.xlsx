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<sst xmlns="http://schemas.openxmlformats.org/spreadsheetml/2006/main" count="405" uniqueCount="238">
  <si>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</si>
  <si>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</si>
  <si>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</si>
  <si>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</si>
  <si>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</si>
  <si>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</si>
  <si>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</si>
  <si>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</si>
  <si>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</si>
  <si>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</si>
  <si>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</si>
  <si>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</si>
  <si>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</si>
  <si>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</si>
  <si>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</si>
  <si>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</si>
  <si>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</si>
  <si>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</si>
  <si>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</si>
  <si>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contact page remains current with 24/7 emergency response, free inspections, direct email service@flooddrywdr.com, and fresh customer reviews posted within the past week.</t>
  </si>
  <si>
    <t>(408) 404-4000</t>
  </si>
  <si>
    <t>service@flooddrywdr.com</t>
  </si>
  <si>
    <t>24/7; direct email; real-person response; fresh customer activity</t>
  </si>
  <si>
    <t>Translate hidden moisture, drying documentation and insurance coordination into urgent plain-English homeowner education.</t>
  </si>
  <si>
    <t>Customer-education idea for FloodDry’s free inspection</t>
  </si>
  <si>
    <t>Hi — I checked FloodDry’s current San Jose contact and restoration messaging today. You’re still offering 24/7 response and free inspections, and your recent customer feedback reinforces the speed-and-guidance story.
I think there’s a strong customer-education angle inside that process:
‘The surface can look dry while moisture is still inside the structure.’
I’d turn that into emergency Google/social posts, homeowner FAQs, inspection follow-ups, insurance-documentation reminders and genuine review-request copy.
Same-Day Customer Growth Pack: $150 flat.
Want me to send two FloodDry-specific examples first?</t>
  </si>
  <si>
    <t>https://flooddrywdr.com/contact/</t>
  </si>
  <si>
    <t>2026-09-09</t>
  </si>
  <si>
    <t>Contact Ready</t>
  </si>
  <si>
    <t>Leader Restoration</t>
  </si>
  <si>
    <t>Mold / Water / Fire Restoration</t>
  </si>
  <si>
    <t>Official San Jose mold page remains current with a free inspection CTA, 24/7 emergency response, a published 60-minute on-site target, direct email service@leaderestoration.com, and California contractor license information.</t>
  </si>
  <si>
    <t>(408) 868-2433</t>
  </si>
  <si>
    <t>service@leaderestoration.com</t>
  </si>
  <si>
    <t>24/7; direct email; 60-minute response positioning</t>
  </si>
  <si>
    <t>Use hidden-moisture education to make the free mold inspection feel useful before visible growth appears.</t>
  </si>
  <si>
    <t>2 ideas for Leader’s free mold-inspection campaign</t>
  </si>
  <si>
    <t>Hi — I checked Leader Restoration’s San Jose mold page today and saw the free inspection, 24/7 response and 60-minute arrival positioning are still prominent.
I think the strongest customer-facing angle is:
‘You don’t need visible mold to have a moisture problem worth investigating.’
I’d turn that into Google/social posts, homeowner FAQs, inspection reminders, customer follow-ups and genuine review-request copy.
Same-Day Customer Growth Pack: $150 flat.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</si>
  <si>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</si>
  <si>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</si>
  <si>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</si>
  <si>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</si>
  <si>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currently publishes Hello Fall September specials expiring Sep 30, 2026, a $299 air-duct-cleaning offer, 24/7 availability, same-day service and financing.</t>
  </si>
  <si>
    <t>(669) 282-6453</t>
  </si>
  <si>
    <t>info@fairpriceheatingandcooling.com</t>
  </si>
  <si>
    <t>24/7; direct email; active September specials</t>
  </si>
  <si>
    <t>Turn the expiring September offers into a cross-service comfort + airflow + indoor-air-quality campaign.</t>
  </si>
  <si>
    <t>2 ideas for FairPrice’s September specials</t>
  </si>
  <si>
    <t>Hi — I checked FairPrice’s site today and the September specials are still live through September 30, including the $299 air-duct-cleaning offer.
I think there’s a stronger campaign than simply repeating the coupon:
‘Use the fall service visit to solve comfort, airflow and indoor-air-quality problems together.’
I’d turn that into Google/social posts, FAQs, offer reminders,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</si>
  <si>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</si>
  <si>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</si>
  <si>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</si>
  <si>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</si>
  <si>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site remains current with 24/7 emergency service, free assessments, direct email help@danselrestoration.com, insurance assistance, mitigation plus reconstruction in-house, and a published within-the-hour callback promise.</t>
  </si>
  <si>
    <t>(408) 564-0152</t>
  </si>
  <si>
    <t>help@danselrestoration.com</t>
  </si>
  <si>
    <t>24/7; direct email; published within-hour callback</t>
  </si>
  <si>
    <t>Turn mitigation-to-reconstruction continuity into a first-hour emergency decision campaign.</t>
  </si>
  <si>
    <t>First-hour restoration campaign idea for Dansel</t>
  </si>
  <si>
    <t>Hi — I reviewed Dansel’s current restoration page today. The combination of 24/7 response, free assessment, insurance assistance and in-house reconstruction gives you a strong customer message:
‘The first hour is about stopping the damage. The next steps shouldn’t require starting over with another contractor.’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</si>
  <si>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</si>
  <si>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Galaxy Heating &amp; Air Conditioning</t>
  </si>
  <si>
    <t>HVAC / Heat Pumps / Indoor Air Quality</t>
  </si>
  <si>
    <t>San Jose / Bay Area, CA</t>
  </si>
  <si>
    <t>New high-priority lead: current San Jose page advertises same-day service for most calls, 24/7 emergency availability, free HVAC replacement estimates, flexible financing and a $59 diagnostic applied toward repair. Direct email info@galaxyservices.com is published.</t>
  </si>
  <si>
    <t>(925) 578-3379</t>
  </si>
  <si>
    <t>info@galaxyservices.com</t>
  </si>
  <si>
    <t>24/7 phone support; direct email; same-day appointments; free replacement estimates</t>
  </si>
  <si>
    <t>Build a repair-versus-replacement decision campaign around the $59 diagnostic, same-day response, free replacement estimate and financing options.</t>
  </si>
  <si>
    <t>Idea for Galaxy’s $59 diagnostic → replacement-estimate flow</t>
  </si>
  <si>
    <t>Hi — I reviewed Galaxy’s current San Jose page today and noticed a useful customer decision path already exists in your offer: a $59 diagnostic that applies toward repair, same-day service for most calls, and free replacement estimates with financing available.
Campaign angle:
‘Diagnose first. Then decide whether repairing or replacing actually makes sense.’
I’d turn that into symptom-based posts, repair-vs-replace FAQs, estimate follow-ups, financing education and genuine review-request copy.
Same-Day Customer Growth Pack: $150 flat.
Want two Galaxy-specific examples first?</t>
  </si>
  <si>
    <t>https://galaxyservices.com/san-jose/</t>
  </si>
  <si>
    <t>Air &amp; Plumbing Systems</t>
  </si>
  <si>
    <t>HVAC / Water Heating</t>
  </si>
  <si>
    <t>Campbell / San Jose, CA</t>
  </si>
  <si>
    <t>New high-priority lead: current official pages publish same-day AC/heating repair, Monday-Saturday 8AM-6PM availability, free consultation/estimate positioning, direct email info@airandplumbing.com, and a same-day service page focused on completing common repairs in one visit.</t>
  </si>
  <si>
    <t>(408) 733-2000</t>
  </si>
  <si>
    <t>info@airandplumbing.com</t>
  </si>
  <si>
    <t>Direct email; Mon-Sat; same-day repair positioning</t>
  </si>
  <si>
    <t>Market the stocked-truck, same-day first-visit resolution story instead of generic HVAC availability.</t>
  </si>
  <si>
    <t>Same-day first-visit campaign idea for Air &amp; Plumbing Systems</t>
  </si>
  <si>
    <t>Hi — I reviewed Air &amp; Plumbing Systems’ current same-day San Jose page today. The strongest story isn’t simply ‘same-day HVAC’; it’s that common repairs are intended to be diagnosed and completed on the first visit.
Campaign angle:
‘A same-day appointment should solve the problem, not just schedule the next appointment.’
I’d turn that into symptom-based posts, first-visit FAQs, missed-inquiry follow-ups, repair-vs-replacement education and genuine review-request copy.
Same-Day Customer Growth Pack: $150 flat.
Want two Air &amp; Plumbing-specific examples first?</t>
  </si>
  <si>
    <t>https://airandplumbing.com/same-day-hvac-service-in-san-jose-book-your-appointment-now/</t>
  </si>
  <si>
    <t>Roof By Tom</t>
  </si>
  <si>
    <t>Roofing</t>
  </si>
  <si>
    <t>Bay Area / San Jose, CA</t>
  </si>
  <si>
    <t>Official pages remain current with free written estimates, same-day leak help when available, direct email roofbytom@gmail.com, same-day callbacks on most requests, inspection photos and financing for qualifying replacement work.</t>
  </si>
  <si>
    <t>(925) 488-1882</t>
  </si>
  <si>
    <t>roofbytom@gmail.com</t>
  </si>
  <si>
    <t>Direct email; same-day callbacks on most estimate requests</t>
  </si>
  <si>
    <t>Use inspection → photos → written scope → repair/replacement/financing as a low-pressure decision path.</t>
  </si>
  <si>
    <t>Idea for Roof By Tom’s same-day estimate flow</t>
  </si>
  <si>
    <t>Hi — I checked Roof By Tom’s current estimate and financing pages today and noticed you still emphasize same-day callbacks on most estimate requests.
Campaign angle:
‘First find out exactly what the roof needs. Then decide whether repair, replacement or financing makes sense.’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</si>
  <si>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</si>
  <si>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ROOF EXPRESS</t>
  </si>
  <si>
    <t>Current official San Jose page publishes free estimates, same-day inspections Monday-Saturday, detailed photo-supported line-item digital scopes within 24 hours, financing up to $25,000 with $0 down, and emergency roofing service.</t>
  </si>
  <si>
    <t>(650) 666-5554</t>
  </si>
  <si>
    <t>sales@roof-ex.com</t>
  </si>
  <si>
    <t>Direct email; same-day inspections Mon-Sat</t>
  </si>
  <si>
    <t>Market transparent photo evidence and line-item scope as proof-before-purchase.</t>
  </si>
  <si>
    <t>Idea for ROOF EXPRESS’s inspection-to-estimate flow</t>
  </si>
  <si>
    <t>Hi — I reviewed ROOF EXPRESS’s current San Jose page today. Your photo-supported digital scope gives you a stronger story than another generic roofing ad:
‘See the roof. See the scope. Then decide.’
I’d turn that into inspection posts, financing FAQs, estimate follow-ups, repair-vs-replacement education and genuine review-request copy.
Same-Day Customer Growth Pack: $150 flat.
Want two ROOF EXPRESS-specific examples first?</t>
  </si>
  <si>
    <t>https://roof-ex.com/san-jose</t>
  </si>
  <si>
    <t>IRBIS Air Plumbing Electrical</t>
  </si>
  <si>
    <t>HVAC / Plumbing / Electrical</t>
  </si>
  <si>
    <t>Current local listing shows 24/7 availability, 40+ trucks and HVAC, plumbing and electrical under one in-house team, with financing and photo-report/project-management positioning. No direct public email was re-verified today, so use the official web route or phone rather than guessing an address.</t>
  </si>
  <si>
    <t>+1 408-317-3919</t>
  </si>
  <si>
    <t>24/7 listing; phone/web route; no direct email asserted</t>
  </si>
  <si>
    <t>Build one-home-one-team messaging around problems that cross HVAC, plumbing and electrical.</t>
  </si>
  <si>
    <t>One campaign across HVAC + plumbing + electrical</t>
  </si>
  <si>
    <t>Hi — I reviewed IRBIS today and your strongest marketing advantage isn’t one trade — it’s that HVAC, plumbing and electrical sit under one in-house team.
Campaign angle:
‘One home. Three systems. One accountable team.’
I’d turn that into same-day service posts, cross-service homeowner FAQs, missed-inquiry follow-ups, estimate follow-ups and genuine review-request messaging.
Same-Day Customer Growth Pack: $150 flat.
Want two IRBIS-specific examples first?</t>
  </si>
  <si>
    <t>https://www.irbishvac.com/</t>
  </si>
  <si>
    <t>Therma Tech</t>
  </si>
  <si>
    <t>HVAC</t>
  </si>
  <si>
    <t>Already contacted by email on Sep 7. Gmail was checked again on Sep 9 and no genuine reply was found. Current local listing shows the business open today with strong review volume and financing positioning. The first respectful follow-up is due today, but it has not been marked sent.</t>
  </si>
  <si>
    <t>(408) 629-5400</t>
  </si>
  <si>
    <t>info@thermatechhvac.com</t>
  </si>
  <si>
    <t>Already contacted Sep 7; no reply found; FU1 due Sep 9</t>
  </si>
  <si>
    <t>Preserve the financing + same-day decision angle; next action is one respectful follow-up, not a new cold opener.</t>
  </si>
  <si>
    <t>Follow-up: Therma Tech financing + same-day traffic idea</t>
  </si>
  <si>
    <t>Hi — following up once on the financing-content idea I sent. Your existing positioning already gives customers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</si>
  <si>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</si>
  <si>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</si>
  <si>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</si>
  <si>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</si>
  <si>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</si>
  <si>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</si>
  <si>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</si>
  <si>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</si>
  <si>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</si>
  <si>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</si>
  <si>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</si>
  <si>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</si>
  <si>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</si>
  <si>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</si>
  <si>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</si>
  <si>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</si>
  <si>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</si>
  <si>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</si>
  <si>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</si>
  <si>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</si>
  <si>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</si>
  <si>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</si>
  <si>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</si>
  <si>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</si>
  <si>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</si>
  <si>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</si>
  <si>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</si>
  <si>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</si>
  <si>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</si>
  <si>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</si>
  <si>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</si>
  <si>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</si>
  <si>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</si>
  <si>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</si>
  <si>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</si>
  <si>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</si>
  <si>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</si>
  <si>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</si>
  <si>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</si>
  <si>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</si>
  <si>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</si>
  <si>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</si>
  <si>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</si>
  <si>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</si>
  <si>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</si>
  <si>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</si>
  <si>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</si>
  <si>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</si>
  <si>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</si>
  <si>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</si>
  <si>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</si>
  <si>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</si>
  <si>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</si>
  <si>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</si>
  <si>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</si>
  <si>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</si>
  <si>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</si>
  <si>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</si>
  <si>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2026-09-07T13:34:00-07:00</t>
  </si>
  <si>
    <t>Wait for a genuine reply; if none, send one respectful follow-up on 2026-09-09.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</si>
  <si>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</si>
  <si>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</si>
  <si>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</si>
  <si>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</si>
  <si>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</si>
  <si>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</si>
  <si>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</si>
  <si>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</si>
  <si>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</si>
  <si>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</si>
  <si>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California Water and Fire</t>
  </si>
  <si>
    <t>Lifetime Roofing &amp; Renovation, Inc.</t>
  </si>
  <si>
    <t>2026-09-08</t>
  </si>
  <si>
    <t>South Bay Roofing CO</t>
  </si>
  <si>
    <t>Eastman Roofing &amp; Waterproofing, Inc.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</si>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</sst>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74</v>
      </c>
      <c r="E7" s="2" t="s">
        <v>18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K7" s="2" t="s">
        <v>80</v>
      </c>
      <c r="L7" s="2" t="s">
        <v>81</v>
      </c>
      <c r="M7" s="2" t="s">
        <v>82</v>
      </c>
      <c r="N7" s="2" t="s">
        <v>27</v>
      </c>
      <c r="O7" s="2" t="s">
        <v>28</v>
      </c>
    </row>
    <row r="8" spans="1:15">
      <c r="A8" s="2">
        <v>7</v>
      </c>
      <c r="B8" s="2" t="s">
        <v>83</v>
      </c>
      <c r="C8" s="2" t="s">
        <v>84</v>
      </c>
      <c r="D8" s="2" t="s">
        <v>85</v>
      </c>
      <c r="E8" s="2" t="s">
        <v>18</v>
      </c>
      <c r="F8" s="2" t="s">
        <v>86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91</v>
      </c>
      <c r="L8" s="2" t="s">
        <v>92</v>
      </c>
      <c r="M8" s="2" t="s">
        <v>93</v>
      </c>
      <c r="N8" s="2" t="s">
        <v>27</v>
      </c>
      <c r="O8" s="2" t="s">
        <v>28</v>
      </c>
    </row>
    <row r="9" spans="1:15">
      <c r="A9" s="2">
        <v>8</v>
      </c>
      <c r="B9" s="2" t="s">
        <v>94</v>
      </c>
      <c r="C9" s="2" t="s">
        <v>84</v>
      </c>
      <c r="D9" s="2" t="s">
        <v>63</v>
      </c>
      <c r="E9" s="2" t="s">
        <v>18</v>
      </c>
      <c r="F9" s="2" t="s">
        <v>95</v>
      </c>
      <c r="G9" s="2" t="s">
        <v>96</v>
      </c>
      <c r="H9" s="2" t="s">
        <v>97</v>
      </c>
      <c r="I9" s="2" t="s">
        <v>98</v>
      </c>
      <c r="J9" s="2" t="s">
        <v>99</v>
      </c>
      <c r="K9" s="2" t="s">
        <v>100</v>
      </c>
      <c r="L9" s="2" t="s">
        <v>101</v>
      </c>
      <c r="M9" s="2" t="s">
        <v>102</v>
      </c>
      <c r="N9" s="2" t="s">
        <v>27</v>
      </c>
      <c r="O9" s="2" t="s">
        <v>28</v>
      </c>
    </row>
    <row r="10" spans="1:15">
      <c r="A10" s="2">
        <v>9</v>
      </c>
      <c r="B10" s="2" t="s">
        <v>103</v>
      </c>
      <c r="C10" s="2" t="s">
        <v>104</v>
      </c>
      <c r="D10" s="2" t="s">
        <v>17</v>
      </c>
      <c r="E10" s="2" t="s">
        <v>18</v>
      </c>
      <c r="F10" s="2" t="s">
        <v>105</v>
      </c>
      <c r="G10" s="2" t="s">
        <v>106</v>
      </c>
      <c r="H10" s="2"/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27</v>
      </c>
      <c r="O11" s="2" t="s">
        <v>122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123</v>
      </c>
      <c r="B1" s="1" t="s">
        <v>124</v>
      </c>
      <c r="C1" s="1" t="s">
        <v>125</v>
      </c>
      <c r="D1" s="1" t="s">
        <v>126</v>
      </c>
    </row>
    <row r="2" spans="1:4">
      <c r="A2" s="2" t="s">
        <v>127</v>
      </c>
      <c r="B2" s="2" t="s">
        <v>128</v>
      </c>
      <c r="C2" s="2" t="s">
        <v>129</v>
      </c>
      <c r="D2" s="2" t="s">
        <v>130</v>
      </c>
    </row>
    <row r="3" spans="1:4">
      <c r="A3" s="2" t="s">
        <v>131</v>
      </c>
      <c r="B3" s="2" t="s">
        <v>132</v>
      </c>
      <c r="C3" s="2" t="s">
        <v>133</v>
      </c>
      <c r="D3" s="2" t="s">
        <v>134</v>
      </c>
    </row>
    <row r="4" spans="1:4">
      <c r="A4" s="2" t="s">
        <v>135</v>
      </c>
      <c r="B4" s="2" t="s">
        <v>136</v>
      </c>
      <c r="C4" s="2" t="s">
        <v>137</v>
      </c>
      <c r="D4" s="2" t="s">
        <v>138</v>
      </c>
    </row>
    <row r="5" spans="1:4">
      <c r="A5" s="2" t="s">
        <v>139</v>
      </c>
      <c r="B5" s="2" t="s">
        <v>140</v>
      </c>
      <c r="C5" s="2" t="s">
        <v>141</v>
      </c>
      <c r="D5" s="2" t="s">
        <v>142</v>
      </c>
    </row>
    <row r="6" spans="1:4">
      <c r="A6" s="2" t="s">
        <v>143</v>
      </c>
      <c r="B6" s="2" t="s">
        <v>144</v>
      </c>
      <c r="C6" s="2" t="s">
        <v>145</v>
      </c>
      <c r="D6" s="2" t="s">
        <v>146</v>
      </c>
    </row>
    <row r="7" spans="1:4">
      <c r="A7" s="2" t="s">
        <v>147</v>
      </c>
      <c r="B7" s="2" t="s">
        <v>148</v>
      </c>
      <c r="C7" s="2" t="s">
        <v>149</v>
      </c>
      <c r="D7" s="2" t="s">
        <v>150</v>
      </c>
    </row>
    <row r="8" spans="1:4">
      <c r="A8" s="2" t="s">
        <v>151</v>
      </c>
      <c r="B8" s="2" t="s">
        <v>152</v>
      </c>
      <c r="C8" s="2" t="s">
        <v>153</v>
      </c>
      <c r="D8" s="2" t="s">
        <v>154</v>
      </c>
    </row>
    <row r="9" spans="1:4">
      <c r="A9" s="2" t="s">
        <v>155</v>
      </c>
      <c r="B9" s="2" t="s">
        <v>156</v>
      </c>
      <c r="C9" s="2" t="s">
        <v>157</v>
      </c>
      <c r="D9" s="2" t="s">
        <v>158</v>
      </c>
    </row>
    <row r="10" spans="1:4">
      <c r="A10" s="2" t="s">
        <v>159</v>
      </c>
      <c r="B10" s="2" t="s">
        <v>160</v>
      </c>
      <c r="C10" s="2" t="s">
        <v>161</v>
      </c>
      <c r="D10" s="2" t="s">
        <v>162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124</v>
      </c>
      <c r="K1" s="1" t="s">
        <v>172</v>
      </c>
      <c r="L1" s="1" t="s">
        <v>173</v>
      </c>
      <c r="M1" s="1" t="s">
        <v>174</v>
      </c>
      <c r="N1" s="1" t="s">
        <v>175</v>
      </c>
      <c r="O1" s="1" t="s">
        <v>176</v>
      </c>
      <c r="P1" s="1" t="s">
        <v>177</v>
      </c>
      <c r="Q1" s="1" t="s">
        <v>178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71</v>
      </c>
    </row>
    <row r="7" spans="1:17">
      <c r="A7" s="2" t="s">
        <v>72</v>
      </c>
      <c r="B7" s="2">
        <v>6</v>
      </c>
      <c r="C7" s="2" t="s">
        <v>77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/>
      <c r="O7" s="2"/>
      <c r="P7" s="2" t="s">
        <v>27</v>
      </c>
      <c r="Q7" s="2" t="s">
        <v>82</v>
      </c>
    </row>
    <row r="8" spans="1:17">
      <c r="A8" s="2" t="s">
        <v>83</v>
      </c>
      <c r="B8" s="2">
        <v>7</v>
      </c>
      <c r="C8" s="2" t="s">
        <v>88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/>
      <c r="O8" s="2"/>
      <c r="P8" s="2" t="s">
        <v>27</v>
      </c>
      <c r="Q8" s="2" t="s">
        <v>93</v>
      </c>
    </row>
    <row r="9" spans="1:17">
      <c r="A9" s="2" t="s">
        <v>94</v>
      </c>
      <c r="B9" s="2">
        <v>8</v>
      </c>
      <c r="C9" s="2" t="s">
        <v>97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102</v>
      </c>
    </row>
    <row r="10" spans="1:17">
      <c r="A10" s="2" t="s">
        <v>103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111</v>
      </c>
    </row>
    <row r="11" spans="1:17">
      <c r="A11" s="2" t="s">
        <v>112</v>
      </c>
      <c r="B11" s="2">
        <v>10</v>
      </c>
      <c r="C11" s="2" t="s">
        <v>116</v>
      </c>
      <c r="D11" s="2" t="s">
        <v>179</v>
      </c>
      <c r="E11" s="2" t="s">
        <v>27</v>
      </c>
      <c r="F11" s="2"/>
      <c r="G11" s="2"/>
      <c r="H11" s="2"/>
      <c r="I11" s="2"/>
      <c r="J11" s="2" t="s">
        <v>122</v>
      </c>
      <c r="K11" s="3">
        <v>150</v>
      </c>
      <c r="L11" s="3">
        <v>0</v>
      </c>
      <c r="M11" s="2"/>
      <c r="N11" s="2" t="s">
        <v>180</v>
      </c>
      <c r="O11" s="2"/>
      <c r="P11" s="2" t="s">
        <v>27</v>
      </c>
      <c r="Q11" s="2" t="s">
        <v>121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124</v>
      </c>
      <c r="C1" s="4" t="s">
        <v>166</v>
      </c>
      <c r="D1" s="4" t="s">
        <v>171</v>
      </c>
      <c r="E1" s="4" t="s">
        <v>172</v>
      </c>
      <c r="F1" s="4" t="s">
        <v>173</v>
      </c>
      <c r="G1" s="4" t="s">
        <v>181</v>
      </c>
      <c r="H1" s="4" t="s">
        <v>176</v>
      </c>
    </row>
    <row r="2" spans="1:8">
      <c r="A2" s="2" t="s">
        <v>182</v>
      </c>
      <c r="B2" s="2" t="s">
        <v>28</v>
      </c>
      <c r="C2" s="2"/>
      <c r="D2" s="2"/>
      <c r="E2" s="3">
        <v>150</v>
      </c>
      <c r="F2" s="3">
        <v>0</v>
      </c>
      <c r="G2" s="2" t="s">
        <v>183</v>
      </c>
      <c r="H2" s="2"/>
    </row>
    <row r="3" spans="1:8">
      <c r="A3" s="2" t="s">
        <v>184</v>
      </c>
      <c r="B3" s="2" t="s">
        <v>28</v>
      </c>
      <c r="C3" s="2"/>
      <c r="D3" s="2"/>
      <c r="E3" s="3">
        <v>150</v>
      </c>
      <c r="F3" s="3">
        <v>0</v>
      </c>
      <c r="G3" s="2" t="s">
        <v>183</v>
      </c>
      <c r="H3" s="2"/>
    </row>
    <row r="4" spans="1:8">
      <c r="A4" s="2" t="s">
        <v>185</v>
      </c>
      <c r="B4" s="2" t="s">
        <v>28</v>
      </c>
      <c r="C4" s="2"/>
      <c r="D4" s="2"/>
      <c r="E4" s="3">
        <v>150</v>
      </c>
      <c r="F4" s="3">
        <v>0</v>
      </c>
      <c r="G4" s="2" t="s">
        <v>183</v>
      </c>
      <c r="H4" s="2"/>
    </row>
    <row r="5" spans="1:8">
      <c r="A5" s="2" t="s">
        <v>186</v>
      </c>
      <c r="B5" s="2" t="s">
        <v>28</v>
      </c>
      <c r="C5" s="2"/>
      <c r="D5" s="2"/>
      <c r="E5" s="3">
        <v>150</v>
      </c>
      <c r="F5" s="3">
        <v>0</v>
      </c>
      <c r="G5" s="2" t="s">
        <v>183</v>
      </c>
      <c r="H5" s="2"/>
    </row>
    <row r="6" spans="1:8">
      <c r="A6" s="2" t="s">
        <v>187</v>
      </c>
      <c r="B6" s="2" t="s">
        <v>28</v>
      </c>
      <c r="C6" s="2"/>
      <c r="D6" s="2"/>
      <c r="E6" s="3">
        <v>150</v>
      </c>
      <c r="F6" s="3">
        <v>0</v>
      </c>
      <c r="G6" s="2" t="s">
        <v>183</v>
      </c>
      <c r="H6" s="2"/>
    </row>
    <row r="7" spans="1:8">
      <c r="A7" s="2" t="s">
        <v>188</v>
      </c>
      <c r="B7" s="2" t="s">
        <v>28</v>
      </c>
      <c r="C7" s="2"/>
      <c r="D7" s="2"/>
      <c r="E7" s="3">
        <v>150</v>
      </c>
      <c r="F7" s="3">
        <v>0</v>
      </c>
      <c r="G7" s="2" t="s">
        <v>183</v>
      </c>
      <c r="H7" s="2"/>
    </row>
    <row r="8" spans="1:8">
      <c r="A8" s="2" t="s">
        <v>189</v>
      </c>
      <c r="B8" s="2" t="s">
        <v>28</v>
      </c>
      <c r="C8" s="2"/>
      <c r="D8" s="2"/>
      <c r="E8" s="3">
        <v>150</v>
      </c>
      <c r="F8" s="3">
        <v>0</v>
      </c>
      <c r="G8" s="2" t="s">
        <v>190</v>
      </c>
      <c r="H8" s="2"/>
    </row>
    <row r="9" spans="1:8">
      <c r="A9" s="2" t="s">
        <v>191</v>
      </c>
      <c r="B9" s="2" t="s">
        <v>28</v>
      </c>
      <c r="C9" s="2"/>
      <c r="D9" s="2"/>
      <c r="E9" s="3">
        <v>150</v>
      </c>
      <c r="F9" s="3">
        <v>0</v>
      </c>
      <c r="G9" s="2" t="s">
        <v>190</v>
      </c>
      <c r="H9" s="2"/>
    </row>
    <row r="10" spans="1:8">
      <c r="A10" s="2" t="s">
        <v>192</v>
      </c>
      <c r="B10" s="2" t="s">
        <v>28</v>
      </c>
      <c r="C10" s="2"/>
      <c r="D10" s="2"/>
      <c r="E10" s="3">
        <v>150</v>
      </c>
      <c r="F10" s="3">
        <v>0</v>
      </c>
      <c r="G10" s="2" t="s">
        <v>193</v>
      </c>
      <c r="H10" s="2"/>
    </row>
    <row r="11" spans="1:8">
      <c r="A11" s="2" t="s">
        <v>194</v>
      </c>
      <c r="B11" s="2" t="s">
        <v>28</v>
      </c>
      <c r="C11" s="2"/>
      <c r="D11" s="2"/>
      <c r="E11" s="3">
        <v>150</v>
      </c>
      <c r="F11" s="3">
        <v>0</v>
      </c>
      <c r="G11" s="2" t="s">
        <v>190</v>
      </c>
      <c r="H11" s="2"/>
    </row>
    <row r="12" spans="1:8">
      <c r="A12" s="2" t="s">
        <v>195</v>
      </c>
      <c r="B12" s="2" t="s">
        <v>28</v>
      </c>
      <c r="C12" s="2"/>
      <c r="D12" s="2"/>
      <c r="E12" s="3">
        <v>150</v>
      </c>
      <c r="F12" s="3">
        <v>0</v>
      </c>
      <c r="G12" s="2" t="s">
        <v>190</v>
      </c>
      <c r="H1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196</v>
      </c>
      <c r="E1" s="1" t="s">
        <v>197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198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198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198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198</v>
      </c>
    </row>
    <row r="6" spans="1:5">
      <c r="A6" s="2" t="s">
        <v>61</v>
      </c>
      <c r="B6" s="2" t="s">
        <v>64</v>
      </c>
      <c r="C6" s="2" t="s">
        <v>71</v>
      </c>
      <c r="D6" s="2" t="s">
        <v>27</v>
      </c>
      <c r="E6" s="2" t="s">
        <v>198</v>
      </c>
    </row>
    <row r="7" spans="1:5">
      <c r="A7" s="2" t="s">
        <v>72</v>
      </c>
      <c r="B7" s="2" t="s">
        <v>75</v>
      </c>
      <c r="C7" s="2" t="s">
        <v>82</v>
      </c>
      <c r="D7" s="2" t="s">
        <v>27</v>
      </c>
      <c r="E7" s="2" t="s">
        <v>198</v>
      </c>
    </row>
    <row r="8" spans="1:5">
      <c r="A8" s="2" t="s">
        <v>83</v>
      </c>
      <c r="B8" s="2" t="s">
        <v>86</v>
      </c>
      <c r="C8" s="2" t="s">
        <v>93</v>
      </c>
      <c r="D8" s="2" t="s">
        <v>27</v>
      </c>
      <c r="E8" s="2" t="s">
        <v>198</v>
      </c>
    </row>
    <row r="9" spans="1:5">
      <c r="A9" s="2" t="s">
        <v>94</v>
      </c>
      <c r="B9" s="2" t="s">
        <v>95</v>
      </c>
      <c r="C9" s="2" t="s">
        <v>102</v>
      </c>
      <c r="D9" s="2" t="s">
        <v>27</v>
      </c>
      <c r="E9" s="2" t="s">
        <v>198</v>
      </c>
    </row>
    <row r="10" spans="1:5">
      <c r="A10" s="2" t="s">
        <v>103</v>
      </c>
      <c r="B10" s="2" t="s">
        <v>105</v>
      </c>
      <c r="C10" s="2" t="s">
        <v>111</v>
      </c>
      <c r="D10" s="2" t="s">
        <v>27</v>
      </c>
      <c r="E10" s="2" t="s">
        <v>198</v>
      </c>
    </row>
    <row r="11" spans="1:5">
      <c r="A11" s="2" t="s">
        <v>112</v>
      </c>
      <c r="B11" s="2" t="s">
        <v>114</v>
      </c>
      <c r="C11" s="2" t="s">
        <v>121</v>
      </c>
      <c r="D11" s="2" t="s">
        <v>27</v>
      </c>
      <c r="E11" s="2" t="s">
        <v>198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199</v>
      </c>
      <c r="B1" s="5"/>
      <c r="C1" s="5"/>
      <c r="D1" s="5"/>
      <c r="E1" s="5"/>
    </row>
    <row r="3" spans="1:5">
      <c r="A3" s="1" t="s">
        <v>200</v>
      </c>
      <c r="B3" s="1" t="s">
        <v>201</v>
      </c>
      <c r="C3" s="2"/>
      <c r="D3" s="1" t="s">
        <v>202</v>
      </c>
      <c r="E3" s="1" t="s">
        <v>201</v>
      </c>
    </row>
    <row r="4" spans="1:5">
      <c r="A4" s="2" t="s">
        <v>28</v>
      </c>
      <c r="B4" s="2">
        <f>COUNTIF(Pipeline!J:J,"Contact Ready")</f>
        <v>0</v>
      </c>
      <c r="D4" s="2" t="s">
        <v>206</v>
      </c>
      <c r="E4" s="3">
        <f>SUM(Pipeline!K:K)</f>
        <v>0</v>
      </c>
    </row>
    <row r="5" spans="1:5">
      <c r="A5" s="2" t="s">
        <v>122</v>
      </c>
      <c r="B5" s="2">
        <f>COUNTIF(Pipeline!J:J,"Contacted")</f>
        <v>0</v>
      </c>
      <c r="D5" s="2" t="s">
        <v>207</v>
      </c>
      <c r="E5" s="3">
        <f>SUM(Pipeline!L:L)</f>
        <v>0</v>
      </c>
    </row>
    <row r="6" spans="1:5">
      <c r="A6" s="2" t="s">
        <v>203</v>
      </c>
      <c r="B6" s="2">
        <f>COUNTIF(Pipeline!J:J,"Replied")</f>
        <v>0</v>
      </c>
      <c r="D6" s="2" t="s">
        <v>208</v>
      </c>
      <c r="E6" s="6">
        <f>IFERROR(COUNTIF(Pipeline!J:J,"Replied")/COUNTIF(Pipeline!D:D,"&lt;&gt;"),0)</f>
        <v>0</v>
      </c>
    </row>
    <row r="7" spans="1:5">
      <c r="A7" s="2" t="s">
        <v>204</v>
      </c>
      <c r="B7" s="2">
        <f>COUNTIF(Pipeline!J:J,"Negotiating")</f>
        <v>0</v>
      </c>
      <c r="D7" s="2" t="s">
        <v>209</v>
      </c>
      <c r="E7" s="6">
        <f>IFERROR(COUNTIF(Pipeline!J:J,"Won/Paid")/COUNTIF(Pipeline!D:D,"&lt;&gt;"),0)</f>
        <v>0</v>
      </c>
    </row>
    <row r="8" spans="1:5">
      <c r="A8" s="2" t="s">
        <v>205</v>
      </c>
      <c r="B8" s="2">
        <f>COUNTIF(Pipeline!J:J,"Won/Paid")</f>
        <v>0</v>
      </c>
    </row>
    <row r="9" spans="1:5">
      <c r="A9" s="2" t="s">
        <v>174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210</v>
      </c>
      <c r="B1" s="1" t="s">
        <v>211</v>
      </c>
    </row>
    <row r="2" spans="1:2">
      <c r="A2" s="2" t="s">
        <v>212</v>
      </c>
      <c r="B2" s="2" t="s">
        <v>213</v>
      </c>
    </row>
    <row r="3" spans="1:2">
      <c r="A3" s="2" t="s">
        <v>214</v>
      </c>
      <c r="B3" s="2" t="s">
        <v>215</v>
      </c>
    </row>
    <row r="4" spans="1:2">
      <c r="A4" s="2" t="s">
        <v>216</v>
      </c>
      <c r="B4" s="2" t="s">
        <v>217</v>
      </c>
    </row>
    <row r="5" spans="1:2">
      <c r="A5" s="2" t="s">
        <v>218</v>
      </c>
      <c r="B5" s="2" t="s">
        <v>219</v>
      </c>
    </row>
    <row r="6" spans="1:2">
      <c r="A6" s="2" t="s">
        <v>220</v>
      </c>
      <c r="B6" s="2" t="s">
        <v>221</v>
      </c>
    </row>
    <row r="7" spans="1:2">
      <c r="A7" s="2" t="s">
        <v>222</v>
      </c>
      <c r="B7" s="2" t="s">
        <v>223</v>
      </c>
    </row>
    <row r="8" spans="1:2">
      <c r="A8" s="2" t="s">
        <v>224</v>
      </c>
      <c r="B8" s="2" t="s">
        <v>225</v>
      </c>
    </row>
    <row r="9" spans="1:2">
      <c r="A9" s="2" t="s">
        <v>226</v>
      </c>
      <c r="B9" s="2" t="s">
        <v>227</v>
      </c>
    </row>
    <row r="10" spans="1:2">
      <c r="A10" s="2" t="s">
        <v>228</v>
      </c>
      <c r="B10" s="2" t="s">
        <v>229</v>
      </c>
    </row>
    <row r="11" spans="1:2">
      <c r="A11" s="2" t="s">
        <v>230</v>
      </c>
      <c r="B11" s="2" t="s">
        <v>231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232</v>
      </c>
      <c r="B1" s="1" t="s">
        <v>233</v>
      </c>
      <c r="C1" s="1" t="s">
        <v>234</v>
      </c>
      <c r="D1" s="1" t="s">
        <v>235</v>
      </c>
      <c r="E1" s="1" t="s">
        <v>236</v>
      </c>
    </row>
    <row r="2" spans="1:5">
      <c r="A2" s="2" t="s">
        <v>27</v>
      </c>
      <c r="B2" s="2" t="s">
        <v>27</v>
      </c>
      <c r="C2" s="2">
        <v>10</v>
      </c>
      <c r="D2" s="2">
        <v>11</v>
      </c>
      <c r="E2" s="2" t="s">
        <v>237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2026-09-09T15:39:18Z</dcterms:created>
  <dcterms:modified xsi:type="dcterms:W3CDTF">2026-09-09T15:39:18Z</dcterms:modified>
</cp:coreProperties>
</file>