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<sst xmlns="http://schemas.openxmlformats.org/spreadsheetml/2006/main" count="421" uniqueCount="247">
  <si>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</si>
  <si>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</si>
  <si>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</si>
  <si>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</si>
  <si>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</si>
  <si>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</si>
  <si>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</si>
  <si>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</si>
  <si>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</si>
  <si>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</si>
  <si>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</si>
  <si>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</si>
  <si>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</si>
  <si>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</si>
  <si>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</si>
  <si>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</si>
  <si>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</si>
  <si>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</si>
  <si>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</si>
  <si>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site remains current with 24/7 emergency response, free inspections, direct email service@flooddrywdr.com, ~45-minute response in many San Jose ZIP codes, insurance documentation, and customer reviews posted 3 and 5 days ago.</t>
  </si>
  <si>
    <t>(408) 404-4000</t>
  </si>
  <si>
    <t>service@flooddrywdr.com</t>
  </si>
  <si>
    <t>24/7; direct email; real-person response; fresh customer activity</t>
  </si>
  <si>
    <t>Turn hidden moisture, drying documentation and insurance coordination into urgent plain-English homeowner education.</t>
  </si>
  <si>
    <t>Customer-education idea for FloodDry’s free inspection</t>
  </si>
  <si>
    <t>Hi — I checked FloodDry’s current San Jose restoration pages today. You’re still offering 24/7 response and free inspections, and your recent customer feedback reinforces the speed-and-guidance story.
I think there’s a strong customer-education angle inside that process:
“The surface can look dry while moisture is still inside the structure.”
I’d turn that into emergency Google/social posts, homeowner FAQs, inspection follow-ups, insurance-documentation reminders and genuine review-request copy.
Same-Day Customer Growth Pack: $150 flat.
Want me to send two FloodDry-specific examples first?</t>
  </si>
  <si>
    <t>https://flooddrywdr.com/water-damage-restoration-san-jose/</t>
  </si>
  <si>
    <t>2026-09-11</t>
  </si>
  <si>
    <t>Contact Ready</t>
  </si>
  <si>
    <t>Leader Restoration</t>
  </si>
  <si>
    <t>Mold / Water / Fire Restoration</t>
  </si>
  <si>
    <t>September 2026 free mold inspection remains live through Sep 30, with 24/7 availability, a published 60-minute arrival target, direct email service@leaderestoration.com, same-day scheduling, and 15% off remediation over $500.</t>
  </si>
  <si>
    <t>(408) 868-2433</t>
  </si>
  <si>
    <t>service@leaderestoration.com</t>
  </si>
  <si>
    <t>24/7; direct email; active Sep 30 deadline; same-day scheduling</t>
  </si>
  <si>
    <t>Use hidden-moisture education to make the expiring free inspection and remediation offer useful before visible mold appears.</t>
  </si>
  <si>
    <t>2 ideas for Leader’s September mold-inspection campaign</t>
  </si>
  <si>
    <t>Hi — I checked Leader Restoration’s September mold campaign today and the free inspection is still live through September 30.
I think the strongest customer-facing angle is:
“You don’t need visible mold to have a moisture problem worth investigating.”
I’d turn that into Google/social posts, homeowner FAQs, inspection reminders, follow-ups and genuine review-request copy, with the September offer used as the reason to act rather than the whole message.
Same-Day Customer Growth Pack: $150 flat.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</si>
  <si>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</si>
  <si>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</si>
  <si>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</si>
  <si>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</si>
  <si>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was current today with Hello Fall September specials expiring Sep 30, a $299 air-duct-cleaning offer, 24/7 emergency service, flexible financing, direct email, and a new Sep 7 article on attic radiant barriers.</t>
  </si>
  <si>
    <t>(669) 282-6453</t>
  </si>
  <si>
    <t>info@fairpriceheatingandcooling.com</t>
  </si>
  <si>
    <t>24/7; direct email; active September specials; fresh Sep 7 content</t>
  </si>
  <si>
    <t>Turn the September offers and fresh attic-efficiency content into a fall comfort + airflow + insulation campaign.</t>
  </si>
  <si>
    <t>2 ideas for FairPrice’s September specials</t>
  </si>
  <si>
    <t>Hi — I checked FairPrice’s site today and the September specials are still live through September 30, including the $299 air-duct-cleaning offer. I also noticed the fresh September content around attic heat gain and radiant barriers.
I think there’s a stronger campaign than simply repeating a coupon:
“Fall comfort starts with the air you move — and the heat your attic lets in.”
I’d turn that into Google/social posts, FAQs, offer reminders, insulation/airflow education,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</si>
  <si>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</si>
  <si>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</si>
  <si>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</si>
  <si>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</si>
  <si>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site remains current with 24/7 emergency restoration, free assessments, direct email help@danselrestoration.com, insurance assistance, same-day mold response, a within-hour callback promise, and mitigation plus reconstruction in-house.</t>
  </si>
  <si>
    <t>(408) 564-0152</t>
  </si>
  <si>
    <t>help@danselrestoration.com</t>
  </si>
  <si>
    <t>24/7; direct email; within-hour callback; same-day mold response</t>
  </si>
  <si>
    <t>Turn mitigation-to-reconstruction continuity into a first-hour emergency decision campaign.</t>
  </si>
  <si>
    <t>First-hour restoration campaign idea for Dansel</t>
  </si>
  <si>
    <t>Hi — I reviewed Dansel’s current San Jose restoration pages today. The combination of a within-hour callback, free assessment, insurance assistance and in-house reconstruction gives you a strong customer message:
“The first hour is about stopping the damage. The next steps shouldn’t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</si>
  <si>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</si>
  <si>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California First Roofing</t>
  </si>
  <si>
    <t>Roofing / Commercial Roofing</t>
  </si>
  <si>
    <t>Official San Jose site remains current with direct sales email, a published 15-minute business-hours response, free estimates, drone/inspection documentation, same-day financing decisions for qualified homeowners, 24/7 emergency service, and residential plus large commercial work.</t>
  </si>
  <si>
    <t>(424) 777-1619</t>
  </si>
  <si>
    <t>sales@californiafirstroofing.com</t>
  </si>
  <si>
    <t>Direct sales email; published 15-minute business-hours response; 24/7 emergency service</t>
  </si>
  <si>
    <t>Market fast response + documented scope + financing as a high-ticket decision funnel for residential and commercial roofing.</t>
  </si>
  <si>
    <t>15-minute roofing estimate funnel idea for California First</t>
  </si>
  <si>
    <t>Hi — I reviewed California First Roofing’s San Jose site again today. You already have the pieces of a strong high-ticket decision funnel: a fast sales response, inspection/drone documentation, a fixed scope and financing options.
Campaign angle:
“Before committing to a major roof project, know the condition, the scope and the payment options.”
I’d turn that into inspection posts, financing FAQs, estimate follow-ups, commercial/property-manager content and genuine review-request copy.
Same-Day Customer Growth Pack: $150 flat.
Want two California First-specific examples first?</t>
  </si>
  <si>
    <t>https://californiafirstroofingsanjose.com/</t>
  </si>
  <si>
    <t>Galaxy Heating &amp; Air Conditioning</t>
  </si>
  <si>
    <t>HVAC / Heat Pumps / Indoor Air Quality</t>
  </si>
  <si>
    <t>San Jose / Bay Area, CA</t>
  </si>
  <si>
    <t>Official San Jose page remains current with same-day service, 24/7 emergency availability, direct email info@galaxyservices.com, a $59 diagnostic applied toward repair, free replacement estimates, 10% off repairs, and financing. Expired Labor Day system discount is excluded.</t>
  </si>
  <si>
    <t>(925) 578-3379</t>
  </si>
  <si>
    <t>info@galaxyservices.com</t>
  </si>
  <si>
    <t>24/7 phone support; direct email; same-day appointments</t>
  </si>
  <si>
    <t>Build a repair-versus-replacement decision campaign around the diagnostic, repair discount, free replacement estimate and financing without using the expired system offer.</t>
  </si>
  <si>
    <t>Idea for Galaxy’s $59 diagnostic → replacement-estimate flow</t>
  </si>
  <si>
    <t>Hi — I reviewed Galaxy’s current San Jose page today and there’s a useful customer decision path already in the offer: a $59 diagnostic that applies toward repair, same-day service, repair savings, and free replacement estimates with financing available.
Campaign angle:
“Diagnose first. Then decide whether repairing or replacing actually makes sense.”
I’d turn that into symptom-based posts, repair-vs-replace FAQs, estimate follow-ups, financing education and genuine review-request copy.
Same-Day Customer Growth Pack: $150 flat.
Want two Galaxy-specific examples first?</t>
  </si>
  <si>
    <t>https://galaxyservices.com/san-jose/</t>
  </si>
  <si>
    <t>Top Tier Roofing</t>
  </si>
  <si>
    <t>Premium Roofing / Roof Replacement</t>
  </si>
  <si>
    <t>New higher-ticket lead: official San Jose homepage was current today with free 16-point inspections, direct email david@toptierroofing.com, nearly two decades in business, 500+ Bay Area projects, CertainTeed credentialing, and a lifetime workmanship warranty.</t>
  </si>
  <si>
    <t>(408) 337-6985</t>
  </si>
  <si>
    <t>david@toptierroofing.com</t>
  </si>
  <si>
    <t>Direct email; Mon-Fri business hours; free 16-point inspection</t>
  </si>
  <si>
    <t>Turn premium inspection + material/warranty expertise into a proof-before-purchase campaign for homeowners comparing major roof investments.</t>
  </si>
  <si>
    <t>Premium roof-decision campaign idea for Top Tier</t>
  </si>
  <si>
    <t>Hi — I reviewed Top Tier Roofing’s San Jose site today and noticed your strongest marketing advantage isn’t simply that you install roofs — it’s the inspection, credentialing and long-term workmanship warranty behind the decision.
Campaign angle:
“A premium roof should come with proof before the purchase — not just a price.”
I’d turn that into 16-point inspection content, material/warranty FAQs, estimate follow-ups, repair-vs-replacement education and genuine review-request copy.
Same-Day Customer Growth Pack: $150 flat.
Want two Top Tier-specific examples first?</t>
  </si>
  <si>
    <t>https://www.toptierroofing.com/</t>
  </si>
  <si>
    <t>Roof By Tom</t>
  </si>
  <si>
    <t>Roofing</t>
  </si>
  <si>
    <t>Bay Area / San Jose, CA</t>
  </si>
  <si>
    <t>Official site remains current with free written estimates, same-day leak help when available, same-day callbacks on most estimate requests, inspection photos, and a low-pressure repair-versus-replacement process.</t>
  </si>
  <si>
    <t>(925) 488-1882</t>
  </si>
  <si>
    <t>roofbytom@gmail.com</t>
  </si>
  <si>
    <t>Direct email; same-day callbacks on most estimate requests</t>
  </si>
  <si>
    <t>Use inspection → photos → written scope → repair/replacement decision as a trust-building funnel.</t>
  </si>
  <si>
    <t>Idea for Roof By Tom’s same-day estimate flow</t>
  </si>
  <si>
    <t>Hi — I checked Roof By Tom’s current estimate process today and noticed you still emphasize same-day callbacks on most requests.
Campaign angle:
“First find out exactly what the roof needs. Then decide whether repair or replacement makes sense.”
I’d turn that into leak-response posts, repair-vs-replacement FAQs, estimate follow-ups and genuine review-request copy.
Same-Day Customer Growth Pack: $150 flat.
Want two Roof By Tom-specific examples first?</t>
  </si>
  <si>
    <t>https://roofbytom.com/</t>
  </si>
  <si>
    <t>ROOF EXPRESS</t>
  </si>
  <si>
    <t>Official pages remain current with free estimates, same-day inspections Monday-Saturday, photo-supported line-item digital scopes within 24 hours, financing, and emergency roof service.</t>
  </si>
  <si>
    <t>(650) 666-5554</t>
  </si>
  <si>
    <t>sales@roof-ex.com</t>
  </si>
  <si>
    <t>Direct email; same-day inspections Mon-Sat; 24-hour digital quotes</t>
  </si>
  <si>
    <t>Market transparent photo evidence and line-item scope as proof-before-purchase.</t>
  </si>
  <si>
    <t>Idea for ROOF EXPRESS’s inspection-to-estimate flow</t>
  </si>
  <si>
    <t>Hi — I reviewed ROOF EXPRESS’s current San Jose estimate process today. Your photo-supported digital scope gives you a stronger story than another generic roofing ad:
“See the roof. See the scope. Then decide.”
I’d turn that into inspection posts, financing FAQs, estimate follow-ups, repair-vs-replacement education and genuine review-request copy.
Same-Day Customer Growth Pack: $150 flat.
Want two ROOF EXPRESS-specific examples first?</t>
  </si>
  <si>
    <t>https://roof-ex.com/contact</t>
  </si>
  <si>
    <t>Therma Tech</t>
  </si>
  <si>
    <t>HVAC</t>
  </si>
  <si>
    <t>Already contacted by email on Sep 7. Gmail checked again Sep 11: no genuine reply and no follow-up email found. Official site was current today with same-day service, flexible financing, free estimates and direct email. The Sep 9 follow-up remains overdue and unsent.</t>
  </si>
  <si>
    <t>(408) 629-5400</t>
  </si>
  <si>
    <t>info@thermatechhvac.com</t>
  </si>
  <si>
    <t>Already contacted Sep 7; no reply; FU1 overdue since Sep 9</t>
  </si>
  <si>
    <t>Do not cold-open again. Next action is one respectful follow-up on the financing + same-day decision angle.</t>
  </si>
  <si>
    <t>Follow-up: Therma Tech financing + same-day traffic idea</t>
  </si>
  <si>
    <t>Hi — following up once on the financing-content idea I sent. Your existing positioning already gives customers the offer; my thought is to make the decision easier to understand across posts, FAQs and estimate follow-up.
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</si>
  <si>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</si>
  <si>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</si>
  <si>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</si>
  <si>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</si>
  <si>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</si>
  <si>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</si>
  <si>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</si>
  <si>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</si>
  <si>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</si>
  <si>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</si>
  <si>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</si>
  <si>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</si>
  <si>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</si>
  <si>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</si>
  <si>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</si>
  <si>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</si>
  <si>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</si>
  <si>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</si>
  <si>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</si>
  <si>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</si>
  <si>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</si>
  <si>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</si>
  <si>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</si>
  <si>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</si>
  <si>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</si>
  <si>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</si>
  <si>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</si>
  <si>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</si>
  <si>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</si>
  <si>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</si>
  <si>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</si>
  <si>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</si>
  <si>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</si>
  <si>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</si>
  <si>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</si>
  <si>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</si>
  <si>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</si>
  <si>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</si>
  <si>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</si>
  <si>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</si>
  <si>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</si>
  <si>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</si>
  <si>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</si>
  <si>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</si>
  <si>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</si>
  <si>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</si>
  <si>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</si>
  <si>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</si>
  <si>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</si>
  <si>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</si>
  <si>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</si>
  <si>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</si>
  <si>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</si>
  <si>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</si>
  <si>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</si>
  <si>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</si>
  <si>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</si>
  <si>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</si>
  <si>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2026-09-10; direct sales email and published 15-minute business-hours response.</t>
  </si>
  <si>
    <t>Verified 2026-09-10; direct email and same-day service remain current. Expired Labor Day discount excluded from outreach.</t>
  </si>
  <si>
    <t>New verified higher-ticket lead added 2026-09-11; direct email, free 16-point inspection, lifetime workmanship warranty, and premium roofing positioning.</t>
  </si>
  <si>
    <t>2026-09-07T13:34:00-07:00</t>
  </si>
  <si>
    <t>2026-09-09</t>
  </si>
  <si>
    <t>Gmail checked 2026-09-11 08:42 PT: no genuine reply and no follow-up sent. One respectful follow-up has been overdue since 2026-09-09; do not mark it sent until actually sent.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</si>
  <si>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</si>
  <si>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</si>
  <si>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</si>
  <si>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</si>
  <si>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</si>
  <si>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</si>
  <si>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</si>
  <si>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</si>
  <si>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</si>
  <si>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</si>
  <si>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IRBIS Air Plumbing Electrical</t>
  </si>
  <si>
    <t>2026-09-10</t>
  </si>
  <si>
    <t>California Water and Fire</t>
  </si>
  <si>
    <t>Infinium Solar, Roofing and Electric</t>
  </si>
  <si>
    <t>Lifetime Roofing &amp; Renovation, Inc.</t>
  </si>
  <si>
    <t>2026-09-08</t>
  </si>
  <si>
    <t>South Bay Roofing CO</t>
  </si>
  <si>
    <t>Eastman Roofing &amp; Waterproofing, Inc.</t>
  </si>
  <si>
    <t>The Roofer Bros</t>
  </si>
  <si>
    <t>Air &amp; Plumbing Systems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</si>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</sst>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www.toptierroofing.com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contact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www.toptierroofing.com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contact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water-damage-restoration-san-jose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www.toptierroofing.com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contact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28</v>
      </c>
    </row>
    <row r="7" spans="1:15">
      <c r="A7" s="2">
        <v>6</v>
      </c>
      <c r="B7" s="2" t="s">
        <v>71</v>
      </c>
      <c r="C7" s="2" t="s">
        <v>72</v>
      </c>
      <c r="D7" s="2" t="s">
        <v>73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83</v>
      </c>
      <c r="D8" s="2" t="s">
        <v>17</v>
      </c>
      <c r="E8" s="2" t="s">
        <v>18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89</v>
      </c>
      <c r="L8" s="2" t="s">
        <v>90</v>
      </c>
      <c r="M8" s="2" t="s">
        <v>91</v>
      </c>
      <c r="N8" s="2" t="s">
        <v>27</v>
      </c>
      <c r="O8" s="2" t="s">
        <v>28</v>
      </c>
    </row>
    <row r="9" spans="1:15">
      <c r="A9" s="2">
        <v>8</v>
      </c>
      <c r="B9" s="2" t="s">
        <v>92</v>
      </c>
      <c r="C9" s="2" t="s">
        <v>93</v>
      </c>
      <c r="D9" s="2" t="s">
        <v>94</v>
      </c>
      <c r="E9" s="2" t="s">
        <v>18</v>
      </c>
      <c r="F9" s="2" t="s">
        <v>95</v>
      </c>
      <c r="G9" s="2" t="s">
        <v>96</v>
      </c>
      <c r="H9" s="2" t="s">
        <v>97</v>
      </c>
      <c r="I9" s="2" t="s">
        <v>98</v>
      </c>
      <c r="J9" s="2" t="s">
        <v>99</v>
      </c>
      <c r="K9" s="2" t="s">
        <v>100</v>
      </c>
      <c r="L9" s="2" t="s">
        <v>101</v>
      </c>
      <c r="M9" s="2" t="s">
        <v>102</v>
      </c>
      <c r="N9" s="2" t="s">
        <v>27</v>
      </c>
      <c r="O9" s="2" t="s">
        <v>28</v>
      </c>
    </row>
    <row r="10" spans="1:15">
      <c r="A10" s="2">
        <v>9</v>
      </c>
      <c r="B10" s="2" t="s">
        <v>103</v>
      </c>
      <c r="C10" s="2" t="s">
        <v>93</v>
      </c>
      <c r="D10" s="2" t="s">
        <v>73</v>
      </c>
      <c r="E10" s="2" t="s">
        <v>18</v>
      </c>
      <c r="F10" s="2" t="s">
        <v>104</v>
      </c>
      <c r="G10" s="2" t="s">
        <v>105</v>
      </c>
      <c r="H10" s="2" t="s">
        <v>106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27</v>
      </c>
      <c r="O11" s="2" t="s">
        <v>122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123</v>
      </c>
      <c r="B1" s="1" t="s">
        <v>124</v>
      </c>
      <c r="C1" s="1" t="s">
        <v>125</v>
      </c>
      <c r="D1" s="1" t="s">
        <v>126</v>
      </c>
    </row>
    <row r="2" spans="1:4">
      <c r="A2" s="2" t="s">
        <v>127</v>
      </c>
      <c r="B2" s="2" t="s">
        <v>128</v>
      </c>
      <c r="C2" s="2" t="s">
        <v>129</v>
      </c>
      <c r="D2" s="2" t="s">
        <v>130</v>
      </c>
    </row>
    <row r="3" spans="1:4">
      <c r="A3" s="2" t="s">
        <v>131</v>
      </c>
      <c r="B3" s="2" t="s">
        <v>132</v>
      </c>
      <c r="C3" s="2" t="s">
        <v>133</v>
      </c>
      <c r="D3" s="2" t="s">
        <v>134</v>
      </c>
    </row>
    <row r="4" spans="1:4">
      <c r="A4" s="2" t="s">
        <v>135</v>
      </c>
      <c r="B4" s="2" t="s">
        <v>136</v>
      </c>
      <c r="C4" s="2" t="s">
        <v>137</v>
      </c>
      <c r="D4" s="2" t="s">
        <v>138</v>
      </c>
    </row>
    <row r="5" spans="1:4">
      <c r="A5" s="2" t="s">
        <v>139</v>
      </c>
      <c r="B5" s="2" t="s">
        <v>140</v>
      </c>
      <c r="C5" s="2" t="s">
        <v>141</v>
      </c>
      <c r="D5" s="2" t="s">
        <v>142</v>
      </c>
    </row>
    <row r="6" spans="1:4">
      <c r="A6" s="2" t="s">
        <v>143</v>
      </c>
      <c r="B6" s="2" t="s">
        <v>144</v>
      </c>
      <c r="C6" s="2" t="s">
        <v>145</v>
      </c>
      <c r="D6" s="2" t="s">
        <v>146</v>
      </c>
    </row>
    <row r="7" spans="1:4">
      <c r="A7" s="2" t="s">
        <v>147</v>
      </c>
      <c r="B7" s="2" t="s">
        <v>148</v>
      </c>
      <c r="C7" s="2" t="s">
        <v>149</v>
      </c>
      <c r="D7" s="2" t="s">
        <v>150</v>
      </c>
    </row>
    <row r="8" spans="1:4">
      <c r="A8" s="2" t="s">
        <v>151</v>
      </c>
      <c r="B8" s="2" t="s">
        <v>152</v>
      </c>
      <c r="C8" s="2" t="s">
        <v>153</v>
      </c>
      <c r="D8" s="2" t="s">
        <v>154</v>
      </c>
    </row>
    <row r="9" spans="1:4">
      <c r="A9" s="2" t="s">
        <v>155</v>
      </c>
      <c r="B9" s="2" t="s">
        <v>156</v>
      </c>
      <c r="C9" s="2" t="s">
        <v>157</v>
      </c>
      <c r="D9" s="2" t="s">
        <v>158</v>
      </c>
    </row>
    <row r="10" spans="1:4">
      <c r="A10" s="2" t="s">
        <v>159</v>
      </c>
      <c r="B10" s="2" t="s">
        <v>160</v>
      </c>
      <c r="C10" s="2" t="s">
        <v>161</v>
      </c>
      <c r="D10" s="2" t="s">
        <v>162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124</v>
      </c>
      <c r="K1" s="1" t="s">
        <v>172</v>
      </c>
      <c r="L1" s="1" t="s">
        <v>173</v>
      </c>
      <c r="M1" s="1" t="s">
        <v>174</v>
      </c>
      <c r="N1" s="1" t="s">
        <v>175</v>
      </c>
      <c r="O1" s="1" t="s">
        <v>176</v>
      </c>
      <c r="P1" s="1" t="s">
        <v>177</v>
      </c>
      <c r="Q1" s="1" t="s">
        <v>178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 t="s">
        <v>179</v>
      </c>
      <c r="O6" s="2"/>
      <c r="P6" s="2" t="s">
        <v>27</v>
      </c>
      <c r="Q6" s="2" t="s">
        <v>70</v>
      </c>
    </row>
    <row r="7" spans="1:17">
      <c r="A7" s="2" t="s">
        <v>71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 t="s">
        <v>180</v>
      </c>
      <c r="O7" s="2"/>
      <c r="P7" s="2" t="s">
        <v>27</v>
      </c>
      <c r="Q7" s="2" t="s">
        <v>81</v>
      </c>
    </row>
    <row r="8" spans="1:17">
      <c r="A8" s="2" t="s">
        <v>82</v>
      </c>
      <c r="B8" s="2">
        <v>7</v>
      </c>
      <c r="C8" s="2" t="s">
        <v>86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 t="s">
        <v>181</v>
      </c>
      <c r="O8" s="2"/>
      <c r="P8" s="2" t="s">
        <v>27</v>
      </c>
      <c r="Q8" s="2" t="s">
        <v>91</v>
      </c>
    </row>
    <row r="9" spans="1:17">
      <c r="A9" s="2" t="s">
        <v>92</v>
      </c>
      <c r="B9" s="2">
        <v>8</v>
      </c>
      <c r="C9" s="2" t="s">
        <v>97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102</v>
      </c>
    </row>
    <row r="10" spans="1:17">
      <c r="A10" s="2" t="s">
        <v>103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111</v>
      </c>
    </row>
    <row r="11" spans="1:17">
      <c r="A11" s="2" t="s">
        <v>112</v>
      </c>
      <c r="B11" s="2">
        <v>10</v>
      </c>
      <c r="C11" s="2" t="s">
        <v>116</v>
      </c>
      <c r="D11" s="2" t="s">
        <v>182</v>
      </c>
      <c r="E11" s="2" t="s">
        <v>183</v>
      </c>
      <c r="F11" s="2"/>
      <c r="G11" s="2"/>
      <c r="H11" s="2"/>
      <c r="I11" s="2"/>
      <c r="J11" s="2" t="s">
        <v>122</v>
      </c>
      <c r="K11" s="3">
        <v>150</v>
      </c>
      <c r="L11" s="3">
        <v>0</v>
      </c>
      <c r="M11" s="2"/>
      <c r="N11" s="2" t="s">
        <v>184</v>
      </c>
      <c r="O11" s="2"/>
      <c r="P11" s="2" t="s">
        <v>27</v>
      </c>
      <c r="Q11" s="2" t="s">
        <v>121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124</v>
      </c>
      <c r="C1" s="4" t="s">
        <v>166</v>
      </c>
      <c r="D1" s="4" t="s">
        <v>171</v>
      </c>
      <c r="E1" s="4" t="s">
        <v>172</v>
      </c>
      <c r="F1" s="4" t="s">
        <v>173</v>
      </c>
      <c r="G1" s="4" t="s">
        <v>185</v>
      </c>
      <c r="H1" s="4" t="s">
        <v>176</v>
      </c>
    </row>
    <row r="2" spans="1:8">
      <c r="A2" s="2" t="s">
        <v>186</v>
      </c>
      <c r="B2" s="2" t="s">
        <v>28</v>
      </c>
      <c r="C2" s="2"/>
      <c r="D2" s="2"/>
      <c r="E2" s="3">
        <v>150</v>
      </c>
      <c r="F2" s="3">
        <v>0</v>
      </c>
      <c r="G2" s="2" t="s">
        <v>187</v>
      </c>
      <c r="H2" s="2"/>
    </row>
    <row r="3" spans="1:8">
      <c r="A3" s="2" t="s">
        <v>188</v>
      </c>
      <c r="B3" s="2" t="s">
        <v>28</v>
      </c>
      <c r="C3" s="2"/>
      <c r="D3" s="2"/>
      <c r="E3" s="3">
        <v>150</v>
      </c>
      <c r="F3" s="3">
        <v>0</v>
      </c>
      <c r="G3" s="2" t="s">
        <v>187</v>
      </c>
      <c r="H3" s="2"/>
    </row>
    <row r="4" spans="1:8">
      <c r="A4" s="2" t="s">
        <v>189</v>
      </c>
      <c r="B4" s="2" t="s">
        <v>28</v>
      </c>
      <c r="C4" s="2"/>
      <c r="D4" s="2"/>
      <c r="E4" s="3">
        <v>150</v>
      </c>
      <c r="F4" s="3">
        <v>0</v>
      </c>
      <c r="G4" s="2" t="s">
        <v>187</v>
      </c>
      <c r="H4" s="2"/>
    </row>
    <row r="5" spans="1:8">
      <c r="A5" s="2" t="s">
        <v>190</v>
      </c>
      <c r="B5" s="2" t="s">
        <v>28</v>
      </c>
      <c r="C5" s="2"/>
      <c r="D5" s="2"/>
      <c r="E5" s="3">
        <v>150</v>
      </c>
      <c r="F5" s="3">
        <v>0</v>
      </c>
      <c r="G5" s="2" t="s">
        <v>187</v>
      </c>
      <c r="H5" s="2"/>
    </row>
    <row r="6" spans="1:8">
      <c r="A6" s="2" t="s">
        <v>191</v>
      </c>
      <c r="B6" s="2" t="s">
        <v>28</v>
      </c>
      <c r="C6" s="2"/>
      <c r="D6" s="2"/>
      <c r="E6" s="3">
        <v>150</v>
      </c>
      <c r="F6" s="3">
        <v>0</v>
      </c>
      <c r="G6" s="2" t="s">
        <v>187</v>
      </c>
      <c r="H6" s="2"/>
    </row>
    <row r="7" spans="1:8">
      <c r="A7" s="2" t="s">
        <v>192</v>
      </c>
      <c r="B7" s="2" t="s">
        <v>28</v>
      </c>
      <c r="C7" s="2"/>
      <c r="D7" s="2"/>
      <c r="E7" s="3">
        <v>150</v>
      </c>
      <c r="F7" s="3">
        <v>0</v>
      </c>
      <c r="G7" s="2" t="s">
        <v>187</v>
      </c>
      <c r="H7" s="2"/>
    </row>
    <row r="8" spans="1:8">
      <c r="A8" s="2" t="s">
        <v>193</v>
      </c>
      <c r="B8" s="2" t="s">
        <v>28</v>
      </c>
      <c r="C8" s="2"/>
      <c r="D8" s="2"/>
      <c r="E8" s="3">
        <v>150</v>
      </c>
      <c r="F8" s="3">
        <v>0</v>
      </c>
      <c r="G8" s="2" t="s">
        <v>194</v>
      </c>
      <c r="H8" s="2"/>
    </row>
    <row r="9" spans="1:8">
      <c r="A9" s="2" t="s">
        <v>195</v>
      </c>
      <c r="B9" s="2" t="s">
        <v>28</v>
      </c>
      <c r="C9" s="2"/>
      <c r="D9" s="2"/>
      <c r="E9" s="3">
        <v>150</v>
      </c>
      <c r="F9" s="3">
        <v>0</v>
      </c>
      <c r="G9" s="2" t="s">
        <v>196</v>
      </c>
      <c r="H9" s="2"/>
    </row>
    <row r="10" spans="1:8">
      <c r="A10" s="2" t="s">
        <v>197</v>
      </c>
      <c r="B10" s="2" t="s">
        <v>28</v>
      </c>
      <c r="C10" s="2"/>
      <c r="D10" s="2"/>
      <c r="E10" s="3">
        <v>150</v>
      </c>
      <c r="F10" s="3">
        <v>0</v>
      </c>
      <c r="G10" s="2" t="s">
        <v>194</v>
      </c>
      <c r="H10" s="2"/>
    </row>
    <row r="11" spans="1:8">
      <c r="A11" s="2" t="s">
        <v>198</v>
      </c>
      <c r="B11" s="2" t="s">
        <v>28</v>
      </c>
      <c r="C11" s="2"/>
      <c r="D11" s="2"/>
      <c r="E11" s="3">
        <v>150</v>
      </c>
      <c r="F11" s="3">
        <v>0</v>
      </c>
      <c r="G11" s="2" t="s">
        <v>183</v>
      </c>
      <c r="H11" s="2"/>
    </row>
    <row r="12" spans="1:8">
      <c r="A12" s="2" t="s">
        <v>199</v>
      </c>
      <c r="B12" s="2" t="s">
        <v>28</v>
      </c>
      <c r="C12" s="2"/>
      <c r="D12" s="2"/>
      <c r="E12" s="3">
        <v>150</v>
      </c>
      <c r="F12" s="3">
        <v>0</v>
      </c>
      <c r="G12" s="2" t="s">
        <v>200</v>
      </c>
      <c r="H12" s="2"/>
    </row>
    <row r="13" spans="1:8">
      <c r="A13" s="2" t="s">
        <v>201</v>
      </c>
      <c r="B13" s="2" t="s">
        <v>28</v>
      </c>
      <c r="C13" s="2"/>
      <c r="D13" s="2"/>
      <c r="E13" s="3">
        <v>150</v>
      </c>
      <c r="F13" s="3">
        <v>0</v>
      </c>
      <c r="G13" s="2" t="s">
        <v>194</v>
      </c>
      <c r="H13" s="2"/>
    </row>
    <row r="14" spans="1:8">
      <c r="A14" s="2" t="s">
        <v>202</v>
      </c>
      <c r="B14" s="2" t="s">
        <v>28</v>
      </c>
      <c r="C14" s="2"/>
      <c r="D14" s="2"/>
      <c r="E14" s="3">
        <v>150</v>
      </c>
      <c r="F14" s="3">
        <v>0</v>
      </c>
      <c r="G14" s="2" t="s">
        <v>194</v>
      </c>
      <c r="H14" s="2"/>
    </row>
    <row r="15" spans="1:8">
      <c r="A15" s="2" t="s">
        <v>203</v>
      </c>
      <c r="B15" s="2" t="s">
        <v>28</v>
      </c>
      <c r="C15" s="2"/>
      <c r="D15" s="2"/>
      <c r="E15" s="3">
        <v>150</v>
      </c>
      <c r="F15" s="3">
        <v>0</v>
      </c>
      <c r="G15" s="2" t="s">
        <v>183</v>
      </c>
      <c r="H15" s="2"/>
    </row>
    <row r="16" spans="1:8">
      <c r="A16" s="2" t="s">
        <v>204</v>
      </c>
      <c r="B16" s="2" t="s">
        <v>28</v>
      </c>
      <c r="C16" s="2"/>
      <c r="D16" s="2"/>
      <c r="E16" s="3">
        <v>150</v>
      </c>
      <c r="F16" s="3">
        <v>0</v>
      </c>
      <c r="G16" s="2" t="s">
        <v>27</v>
      </c>
      <c r="H1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205</v>
      </c>
      <c r="E1" s="1" t="s">
        <v>206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207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207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207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207</v>
      </c>
    </row>
    <row r="6" spans="1:5">
      <c r="A6" s="2" t="s">
        <v>61</v>
      </c>
      <c r="B6" s="2" t="s">
        <v>63</v>
      </c>
      <c r="C6" s="2" t="s">
        <v>70</v>
      </c>
      <c r="D6" s="2" t="s">
        <v>27</v>
      </c>
      <c r="E6" s="2" t="s">
        <v>207</v>
      </c>
    </row>
    <row r="7" spans="1:5">
      <c r="A7" s="2" t="s">
        <v>71</v>
      </c>
      <c r="B7" s="2" t="s">
        <v>74</v>
      </c>
      <c r="C7" s="2" t="s">
        <v>81</v>
      </c>
      <c r="D7" s="2" t="s">
        <v>27</v>
      </c>
      <c r="E7" s="2" t="s">
        <v>207</v>
      </c>
    </row>
    <row r="8" spans="1:5">
      <c r="A8" s="2" t="s">
        <v>82</v>
      </c>
      <c r="B8" s="2" t="s">
        <v>84</v>
      </c>
      <c r="C8" s="2" t="s">
        <v>91</v>
      </c>
      <c r="D8" s="2" t="s">
        <v>27</v>
      </c>
      <c r="E8" s="2" t="s">
        <v>207</v>
      </c>
    </row>
    <row r="9" spans="1:5">
      <c r="A9" s="2" t="s">
        <v>92</v>
      </c>
      <c r="B9" s="2" t="s">
        <v>95</v>
      </c>
      <c r="C9" s="2" t="s">
        <v>102</v>
      </c>
      <c r="D9" s="2" t="s">
        <v>27</v>
      </c>
      <c r="E9" s="2" t="s">
        <v>207</v>
      </c>
    </row>
    <row r="10" spans="1:5">
      <c r="A10" s="2" t="s">
        <v>103</v>
      </c>
      <c r="B10" s="2" t="s">
        <v>104</v>
      </c>
      <c r="C10" s="2" t="s">
        <v>111</v>
      </c>
      <c r="D10" s="2" t="s">
        <v>27</v>
      </c>
      <c r="E10" s="2" t="s">
        <v>207</v>
      </c>
    </row>
    <row r="11" spans="1:5">
      <c r="A11" s="2" t="s">
        <v>112</v>
      </c>
      <c r="B11" s="2" t="s">
        <v>114</v>
      </c>
      <c r="C11" s="2" t="s">
        <v>121</v>
      </c>
      <c r="D11" s="2" t="s">
        <v>27</v>
      </c>
      <c r="E11" s="2" t="s">
        <v>207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208</v>
      </c>
      <c r="B1" s="5"/>
      <c r="C1" s="5"/>
      <c r="D1" s="5"/>
      <c r="E1" s="5"/>
    </row>
    <row r="3" spans="1:5">
      <c r="A3" s="1" t="s">
        <v>209</v>
      </c>
      <c r="B3" s="1" t="s">
        <v>210</v>
      </c>
      <c r="C3" s="2"/>
      <c r="D3" s="1" t="s">
        <v>211</v>
      </c>
      <c r="E3" s="1" t="s">
        <v>210</v>
      </c>
    </row>
    <row r="4" spans="1:5">
      <c r="A4" s="2" t="s">
        <v>28</v>
      </c>
      <c r="B4" s="2">
        <f>COUNTIF(Pipeline!J:J,"Contact Ready")</f>
        <v>0</v>
      </c>
      <c r="D4" s="2" t="s">
        <v>215</v>
      </c>
      <c r="E4" s="3">
        <f>SUM(Pipeline!K:K)</f>
        <v>0</v>
      </c>
    </row>
    <row r="5" spans="1:5">
      <c r="A5" s="2" t="s">
        <v>122</v>
      </c>
      <c r="B5" s="2">
        <f>COUNTIF(Pipeline!J:J,"Contacted")</f>
        <v>0</v>
      </c>
      <c r="D5" s="2" t="s">
        <v>216</v>
      </c>
      <c r="E5" s="3">
        <f>SUM(Pipeline!L:L)</f>
        <v>0</v>
      </c>
    </row>
    <row r="6" spans="1:5">
      <c r="A6" s="2" t="s">
        <v>212</v>
      </c>
      <c r="B6" s="2">
        <f>COUNTIF(Pipeline!J:J,"Replied")</f>
        <v>0</v>
      </c>
      <c r="D6" s="2" t="s">
        <v>217</v>
      </c>
      <c r="E6" s="6">
        <f>IFERROR(COUNTIF(Pipeline!J:J,"Replied")/COUNTIF(Pipeline!D:D,"&lt;&gt;"),0)</f>
        <v>0</v>
      </c>
    </row>
    <row r="7" spans="1:5">
      <c r="A7" s="2" t="s">
        <v>213</v>
      </c>
      <c r="B7" s="2">
        <f>COUNTIF(Pipeline!J:J,"Negotiating")</f>
        <v>0</v>
      </c>
      <c r="D7" s="2" t="s">
        <v>218</v>
      </c>
      <c r="E7" s="6">
        <f>IFERROR(COUNTIF(Pipeline!J:J,"Won/Paid")/COUNTIF(Pipeline!D:D,"&lt;&gt;"),0)</f>
        <v>0</v>
      </c>
    </row>
    <row r="8" spans="1:5">
      <c r="A8" s="2" t="s">
        <v>214</v>
      </c>
      <c r="B8" s="2">
        <f>COUNTIF(Pipeline!J:J,"Won/Paid")</f>
        <v>0</v>
      </c>
    </row>
    <row r="9" spans="1:5">
      <c r="A9" s="2" t="s">
        <v>174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219</v>
      </c>
      <c r="B1" s="1" t="s">
        <v>220</v>
      </c>
    </row>
    <row r="2" spans="1:2">
      <c r="A2" s="2" t="s">
        <v>221</v>
      </c>
      <c r="B2" s="2" t="s">
        <v>222</v>
      </c>
    </row>
    <row r="3" spans="1:2">
      <c r="A3" s="2" t="s">
        <v>223</v>
      </c>
      <c r="B3" s="2" t="s">
        <v>224</v>
      </c>
    </row>
    <row r="4" spans="1:2">
      <c r="A4" s="2" t="s">
        <v>225</v>
      </c>
      <c r="B4" s="2" t="s">
        <v>226</v>
      </c>
    </row>
    <row r="5" spans="1:2">
      <c r="A5" s="2" t="s">
        <v>227</v>
      </c>
      <c r="B5" s="2" t="s">
        <v>228</v>
      </c>
    </row>
    <row r="6" spans="1:2">
      <c r="A6" s="2" t="s">
        <v>229</v>
      </c>
      <c r="B6" s="2" t="s">
        <v>230</v>
      </c>
    </row>
    <row r="7" spans="1:2">
      <c r="A7" s="2" t="s">
        <v>231</v>
      </c>
      <c r="B7" s="2" t="s">
        <v>232</v>
      </c>
    </row>
    <row r="8" spans="1:2">
      <c r="A8" s="2" t="s">
        <v>233</v>
      </c>
      <c r="B8" s="2" t="s">
        <v>234</v>
      </c>
    </row>
    <row r="9" spans="1:2">
      <c r="A9" s="2" t="s">
        <v>235</v>
      </c>
      <c r="B9" s="2" t="s">
        <v>236</v>
      </c>
    </row>
    <row r="10" spans="1:2">
      <c r="A10" s="2" t="s">
        <v>237</v>
      </c>
      <c r="B10" s="2" t="s">
        <v>238</v>
      </c>
    </row>
    <row r="11" spans="1:2">
      <c r="A11" s="2" t="s">
        <v>239</v>
      </c>
      <c r="B11" s="2" t="s">
        <v>240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241</v>
      </c>
      <c r="B1" s="1" t="s">
        <v>242</v>
      </c>
      <c r="C1" s="1" t="s">
        <v>243</v>
      </c>
      <c r="D1" s="1" t="s">
        <v>244</v>
      </c>
      <c r="E1" s="1" t="s">
        <v>245</v>
      </c>
    </row>
    <row r="2" spans="1:5">
      <c r="A2" s="2" t="s">
        <v>27</v>
      </c>
      <c r="B2" s="2" t="s">
        <v>27</v>
      </c>
      <c r="C2" s="2">
        <v>10</v>
      </c>
      <c r="D2" s="2">
        <v>15</v>
      </c>
      <c r="E2" s="2" t="s">
        <v>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2026-09-11T15:47:15Z</dcterms:created>
  <dcterms:modified xsi:type="dcterms:W3CDTF">2026-09-11T15:47:15Z</dcterms:modified>
</cp:coreProperties>
</file>